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slicers/slicer3.xml" ContentType="application/vnd.ms-excel.slicer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27932"/>
  <workbookPr dateCompatibility="0" defaultThemeVersion="202300"/>
  <mc:AlternateContent xmlns:mc="http://schemas.openxmlformats.org/markup-compatibility/2006">
    <mc:Choice Requires="x15">
      <x15ac:absPath xmlns:x15ac="http://schemas.microsoft.com/office/spreadsheetml/2010/11/ac" url="C:\Users\felip\OneDrive\Documentos\Projetos Dashboard\projeto-dashboard-vendas\"/>
    </mc:Choice>
  </mc:AlternateContent>
  <xr:revisionPtr revIDLastSave="0" documentId="8_{C64618B5-06FD-420A-A78B-30EB6766A031}" xr6:coauthVersionLast="47" xr6:coauthVersionMax="47" xr10:uidLastSave="{00000000-0000-0000-0000-000000000000}"/>
  <bookViews>
    <workbookView xWindow="-28920" yWindow="-135" windowWidth="29040" windowHeight="15720" firstSheet="1" activeTab="1" xr2:uid="{0701A71C-031F-4BBB-95D0-679F2B78E19B}"/>
  </bookViews>
  <sheets>
    <sheet name="Tabela Dinamica" sheetId="14" state="hidden" r:id="rId1"/>
    <sheet name="Base_Dados" sheetId="1" r:id="rId2"/>
    <sheet name="vendas_cliente" sheetId="8" state="hidden" r:id="rId3"/>
    <sheet name="vendas_mes" sheetId="9" state="hidden" r:id="rId4"/>
    <sheet name="vendas_produto" sheetId="11" state="hidden" r:id="rId5"/>
    <sheet name="vendas_estado" sheetId="10" state="hidden" r:id="rId6"/>
    <sheet name="Dashboard" sheetId="12" r:id="rId7"/>
  </sheets>
  <definedNames>
    <definedName name="_xlnm._FilterDatabase" localSheetId="0" hidden="1">'Tabela Dinamica'!$L$3:$L$4</definedName>
    <definedName name="SegmentaçãodeDados_cliente">#N/A</definedName>
    <definedName name="SegmentaçãodeDados_estado">#N/A</definedName>
    <definedName name="SegmentaçãodeDados_Meses__data">#N/A</definedName>
    <definedName name="SegmentaçãodeDados_produto">#N/A</definedName>
  </definedNames>
  <calcPr calcId="191029"/>
  <pivotCaches>
    <pivotCache cacheId="14" r:id="rId8"/>
  </pivotCaches>
  <extLst>
    <ext xmlns:x14="http://schemas.microsoft.com/office/spreadsheetml/2009/9/main" uri="{BBE1A952-AA13-448e-AADC-164F8A28A991}">
      <x14:slicerCaches>
        <x14:slicerCache r:id="rId9"/>
        <x14:slicerCache r:id="rId10"/>
        <x14:slicerCache r:id="rId11"/>
        <x14:slicerCache r:id="rId1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purl.oclc.org/ooxml/spreadsheetml/main">
  <c r="J6" i="12" l="1"/>
  <c r="G6" i="12"/>
</calcChain>
</file>

<file path=xl/sharedStrings.xml><?xml version="1.0" encoding="utf-8"?>
<sst xmlns="http://purl.oclc.org/ooxml/spreadsheetml/main" count="194" uniqueCount="77">
  <si>
    <t>id_venda</t>
  </si>
  <si>
    <t>cliente</t>
  </si>
  <si>
    <t>data</t>
  </si>
  <si>
    <t>valor</t>
  </si>
  <si>
    <t>produto</t>
  </si>
  <si>
    <t>estado</t>
  </si>
  <si>
    <t>Maria</t>
  </si>
  <si>
    <t>Felipe</t>
  </si>
  <si>
    <t>Marcos</t>
  </si>
  <si>
    <t>Ana</t>
  </si>
  <si>
    <t>Carlos</t>
  </si>
  <si>
    <t>Melissa</t>
  </si>
  <si>
    <t>Carolina</t>
  </si>
  <si>
    <t>Pamela</t>
  </si>
  <si>
    <t>Thamires</t>
  </si>
  <si>
    <t>Claudio</t>
  </si>
  <si>
    <t>Alexandre</t>
  </si>
  <si>
    <t>Fernando</t>
  </si>
  <si>
    <t>Marcela</t>
  </si>
  <si>
    <t>Marcelle</t>
  </si>
  <si>
    <t>Philipe</t>
  </si>
  <si>
    <t>Wallace</t>
  </si>
  <si>
    <t>Kleiton</t>
  </si>
  <si>
    <t>Elaine</t>
  </si>
  <si>
    <t>Alice</t>
  </si>
  <si>
    <t>Bruna</t>
  </si>
  <si>
    <t>Emerson</t>
  </si>
  <si>
    <t>Arthur</t>
  </si>
  <si>
    <t>Mayara</t>
  </si>
  <si>
    <t>Raquel</t>
  </si>
  <si>
    <t>Vandro</t>
  </si>
  <si>
    <t>Anderson</t>
  </si>
  <si>
    <t>Luana</t>
  </si>
  <si>
    <t>Mouse</t>
  </si>
  <si>
    <t>SP</t>
  </si>
  <si>
    <t>MG</t>
  </si>
  <si>
    <t>RJ</t>
  </si>
  <si>
    <t>ES</t>
  </si>
  <si>
    <t>DF</t>
  </si>
  <si>
    <t>BA</t>
  </si>
  <si>
    <t>MA</t>
  </si>
  <si>
    <t>Teclado</t>
  </si>
  <si>
    <t>Headset</t>
  </si>
  <si>
    <t>Monitor</t>
  </si>
  <si>
    <t>MousePad</t>
  </si>
  <si>
    <t>Processador</t>
  </si>
  <si>
    <t>Placa de Video</t>
  </si>
  <si>
    <t>Headphone</t>
  </si>
  <si>
    <t>Joao</t>
  </si>
  <si>
    <t>Otavio</t>
  </si>
  <si>
    <t>Lais</t>
  </si>
  <si>
    <t>PlacaMae</t>
  </si>
  <si>
    <t>MemoriaRam</t>
  </si>
  <si>
    <t>Rótulos de Linha</t>
  </si>
  <si>
    <t>Total Geral</t>
  </si>
  <si>
    <t>Jul</t>
  </si>
  <si>
    <t>May</t>
  </si>
  <si>
    <t>Mar</t>
  </si>
  <si>
    <t>Apr</t>
  </si>
  <si>
    <t>Feb</t>
  </si>
  <si>
    <t>Jun</t>
  </si>
  <si>
    <t>Jan</t>
  </si>
  <si>
    <t>Sept</t>
  </si>
  <si>
    <t>Aug</t>
  </si>
  <si>
    <t>Oct</t>
  </si>
  <si>
    <t>Dec</t>
  </si>
  <si>
    <t>Nov</t>
  </si>
  <si>
    <t>Soma de valor</t>
  </si>
  <si>
    <t>DASHBOARD DE VENDAS</t>
  </si>
  <si>
    <t>TICKET MÉDIO</t>
  </si>
  <si>
    <t>TOTAL DE CLIENTES ÚNICOS</t>
  </si>
  <si>
    <t>TOTAL DE VENDAS</t>
  </si>
  <si>
    <t>INSIGHTS PRINCIPAIS</t>
  </si>
  <si>
    <t>JANEIRO FOI O MÊS COM MAIOR FATURAMENTO.</t>
  </si>
  <si>
    <t>ELAINE É A CLIENTE QUE MAIS COMPROU.</t>
  </si>
  <si>
    <t>RIO DE JANEIRO É O ESTADO COM MAIOR VOLUME DE VENDAS.</t>
  </si>
  <si>
    <t>PROCESSADOR É O PRODUTO MAIS VENDIDO.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</si>
</sst>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$&quot;* #,##0.00_-;\-&quot;$&quot;* #,##0.00_-;_-&quot;$&quot;* &quot;-&quot;??_-;_-@_-"/>
    <numFmt numFmtId="43" formatCode="_-* #,##0.00_-;\-* #,##0.00_-;_-* &quot;-&quot;??_-;_-@_-"/>
    <numFmt numFmtId="169" formatCode="_-[$R$-416]\ * #,##0.00_-;\-[$R$-416]\ * #,##0.00_-;_-[$R$-416]\ * &quot;-&quot;??_-;_-@_-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0"/>
      <color theme="0"/>
      <name val="Aptos Narrow"/>
      <family val="2"/>
      <scheme val="minor"/>
    </font>
    <font>
      <b/>
      <sz val="16"/>
      <color theme="4" tint="-0.499984740745262"/>
      <name val="Aptos Narrow"/>
      <family val="2"/>
      <scheme val="minor"/>
    </font>
    <font>
      <sz val="11"/>
      <color theme="4" tint="-0.499984740745262"/>
      <name val="Aptos Narrow"/>
      <family val="2"/>
      <scheme val="minor"/>
    </font>
    <font>
      <b/>
      <sz val="14"/>
      <color theme="4" tint="-0.499984740745262"/>
      <name val="Aptos Narrow"/>
      <family val="2"/>
      <scheme val="minor"/>
    </font>
    <font>
      <sz val="14"/>
      <color theme="4" tint="-0.499984740745262"/>
      <name val="Aptos Narrow"/>
      <family val="2"/>
      <scheme val="minor"/>
    </font>
    <font>
      <b/>
      <sz val="20"/>
      <color theme="4" tint="-0.499984740745262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start/>
      <end/>
      <top/>
      <bottom/>
      <diagonal/>
    </border>
    <border>
      <start/>
      <end/>
      <top/>
      <bottom style="thick">
        <color theme="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2" fillId="0" borderId="1" applyNumberFormat="0" applyFill="0" applyAlignment="0" applyProtection="0"/>
  </cellStyleXfs>
  <cellXfs count="21">
    <xf numFmtId="0" fontId="0" fillId="0" borderId="0" xfId="0"/>
    <xf numFmtId="14" fontId="0" fillId="0" borderId="0" xfId="0" applyNumberFormat="1"/>
    <xf numFmtId="169" fontId="0" fillId="0" borderId="0" xfId="1" applyNumberFormat="1" applyFont="1"/>
    <xf numFmtId="169" fontId="0" fillId="0" borderId="0" xfId="2" applyNumberFormat="1" applyFont="1"/>
    <xf numFmtId="0" fontId="0" fillId="0" borderId="0" xfId="0" pivotButton="1"/>
    <xf numFmtId="0" fontId="0" fillId="0" borderId="0" xfId="0" applyAlignment="1">
      <alignment horizontal="left"/>
    </xf>
    <xf numFmtId="169" fontId="0" fillId="0" borderId="0" xfId="0" applyNumberFormat="1"/>
    <xf numFmtId="0" fontId="4" fillId="2" borderId="0" xfId="0" applyFont="1" applyFill="1" applyAlignment="1"/>
    <xf numFmtId="0" fontId="0" fillId="3" borderId="0" xfId="0" applyFill="1"/>
    <xf numFmtId="0" fontId="2" fillId="3" borderId="1" xfId="3" applyFill="1"/>
    <xf numFmtId="0" fontId="3" fillId="3" borderId="0" xfId="0" applyFont="1" applyFill="1"/>
    <xf numFmtId="169" fontId="2" fillId="3" borderId="1" xfId="3" applyNumberFormat="1" applyFill="1"/>
    <xf numFmtId="0" fontId="6" fillId="4" borderId="0" xfId="0" applyFont="1" applyFill="1"/>
    <xf numFmtId="0" fontId="5" fillId="4" borderId="0" xfId="0" applyFont="1" applyFill="1" applyAlignment="1">
      <alignment horizontal="center"/>
    </xf>
    <xf numFmtId="0" fontId="5" fillId="4" borderId="0" xfId="0" applyFont="1" applyFill="1"/>
    <xf numFmtId="0" fontId="7" fillId="4" borderId="0" xfId="0" applyFont="1" applyFill="1" applyAlignment="1">
      <alignment horizontal="center"/>
    </xf>
    <xf numFmtId="0" fontId="8" fillId="4" borderId="0" xfId="0" applyFont="1" applyFill="1" applyAlignment="1">
      <alignment horizontal="center"/>
    </xf>
    <xf numFmtId="0" fontId="7" fillId="4" borderId="0" xfId="0" applyFont="1" applyFill="1" applyAlignment="1"/>
    <xf numFmtId="0" fontId="8" fillId="4" borderId="0" xfId="0" applyFont="1" applyFill="1"/>
    <xf numFmtId="0" fontId="0" fillId="4" borderId="0" xfId="0" applyFill="1"/>
    <xf numFmtId="0" fontId="9" fillId="3" borderId="0" xfId="0" applyFont="1" applyFill="1" applyAlignment="1">
      <alignment horizontal="center"/>
    </xf>
  </cellXfs>
  <cellStyles count="4">
    <cellStyle name="Moeda" xfId="2" builtinId="4"/>
    <cellStyle name="Normal" xfId="0" builtinId="0"/>
    <cellStyle name="Título 1" xfId="3" builtinId="16"/>
    <cellStyle name="Vírgula" xfId="1" builtinId="3"/>
  </cellStyles>
  <dxfs count="11">
    <dxf>
      <numFmt numFmtId="169" formatCode="_-[$R$-416]\ * #,##0.00_-;\-[$R$-416]\ * #,##0.00_-;_-[$R$-416]\ * &quot;-&quot;??_-;_-@_-"/>
    </dxf>
    <dxf>
      <numFmt numFmtId="169" formatCode="_-[$R$-416]\ * #,##0.00_-;\-[$R$-416]\ * #,##0.00_-;_-[$R$-416]\ * &quot;-&quot;??_-;_-@_-"/>
    </dxf>
    <dxf>
      <numFmt numFmtId="169" formatCode="_-[$R$-416]\ * #,##0.00_-;\-[$R$-416]\ * #,##0.00_-;_-[$R$-416]\ * &quot;-&quot;??_-;_-@_-"/>
    </dxf>
    <dxf>
      <numFmt numFmtId="169" formatCode="_-[$R$-416]\ * #,##0.00_-;\-[$R$-416]\ * #,##0.00_-;_-[$R$-416]\ * &quot;-&quot;??_-;_-@_-"/>
    </dxf>
    <dxf>
      <numFmt numFmtId="169" formatCode="_-[$R$-416]\ * #,##0.00_-;\-[$R$-416]\ * #,##0.00_-;_-[$R$-416]\ * &quot;-&quot;??_-;_-@_-"/>
    </dxf>
    <dxf>
      <numFmt numFmtId="169" formatCode="_-[$R$-416]\ * #,##0.00_-;\-[$R$-416]\ * #,##0.00_-;_-[$R$-416]\ * &quot;-&quot;??_-;_-@_-"/>
    </dxf>
    <dxf>
      <numFmt numFmtId="169" formatCode="_-[$R$-416]\ * #,##0.00_-;\-[$R$-416]\ * #,##0.00_-;_-[$R$-416]\ * &quot;-&quot;??_-;_-@_-"/>
    </dxf>
    <dxf>
      <numFmt numFmtId="169" formatCode="_-[$R$-416]\ * #,##0.00_-;\-[$R$-416]\ * #,##0.00_-;_-[$R$-416]\ * &quot;-&quot;??_-;_-@_-"/>
    </dxf>
    <dxf>
      <numFmt numFmtId="169" formatCode="_-[$R$-416]\ * #,##0.00_-;\-[$R$-416]\ * #,##0.00_-;_-[$R$-416]\ * &quot;-&quot;??_-;_-@_-"/>
    </dxf>
    <dxf>
      <numFmt numFmtId="169" formatCode="_-[$R$-416]\ * #,##0.00_-;\-[$R$-416]\ * #,##0.00_-;_-[$R$-416]\ * &quot;-&quot;??_-;_-@_-"/>
    </dxf>
    <dxf>
      <numFmt numFmtId="19" formatCode="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purl.oclc.org/ooxml/officeDocument/relationships/pivotCacheDefinition" Target="pivotCache/pivotCacheDefinition1.xml"/><Relationship Id="rId13" Type="http://purl.oclc.org/ooxml/officeDocument/relationships/theme" Target="theme/theme1.xml"/><Relationship Id="rId3" Type="http://purl.oclc.org/ooxml/officeDocument/relationships/worksheet" Target="worksheets/sheet3.xml"/><Relationship Id="rId7" Type="http://purl.oclc.org/ooxml/officeDocument/relationships/worksheet" Target="worksheets/sheet7.xml"/><Relationship Id="rId12" Type="http://schemas.microsoft.com/office/2007/relationships/slicerCache" Target="slicerCaches/slicerCache4.xml"/><Relationship Id="rId2" Type="http://purl.oclc.org/ooxml/officeDocument/relationships/worksheet" Target="worksheets/sheet2.xml"/><Relationship Id="rId16" Type="http://purl.oclc.org/ooxml/officeDocument/relationships/calcChain" Target="calcChain.xml"/><Relationship Id="rId1" Type="http://purl.oclc.org/ooxml/officeDocument/relationships/worksheet" Target="worksheets/sheet1.xml"/><Relationship Id="rId6" Type="http://purl.oclc.org/ooxml/officeDocument/relationships/worksheet" Target="worksheets/sheet6.xml"/><Relationship Id="rId11" Type="http://schemas.microsoft.com/office/2007/relationships/slicerCache" Target="slicerCaches/slicerCache3.xml"/><Relationship Id="rId5" Type="http://purl.oclc.org/ooxml/officeDocument/relationships/worksheet" Target="worksheets/sheet5.xml"/><Relationship Id="rId15" Type="http://purl.oclc.org/ooxml/officeDocument/relationships/sharedStrings" Target="sharedStrings.xml"/><Relationship Id="rId10" Type="http://schemas.microsoft.com/office/2007/relationships/slicerCache" Target="slicerCaches/slicerCache2.xml"/><Relationship Id="rId4" Type="http://purl.oclc.org/ooxml/officeDocument/relationships/worksheet" Target="worksheets/sheet4.xml"/><Relationship Id="rId9" Type="http://schemas.microsoft.com/office/2007/relationships/slicerCache" Target="slicerCaches/slicerCache1.xml"/><Relationship Id="rId14" Type="http://purl.oclc.org/ooxml/officeDocument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[Dashboard.xlsx]Tabela Dinamica!Tabela dinâmica5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Vendas Cliente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'Tabela Dinamica'!$B$3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'Tabela Dinamica'!$A$4:$A$9</c:f>
              <c:strCache>
                <c:ptCount val="5"/>
                <c:pt idx="0">
                  <c:v>Alice</c:v>
                </c:pt>
                <c:pt idx="1">
                  <c:v>Bruna</c:v>
                </c:pt>
                <c:pt idx="2">
                  <c:v>Claudio</c:v>
                </c:pt>
                <c:pt idx="3">
                  <c:v>Elaine</c:v>
                </c:pt>
                <c:pt idx="4">
                  <c:v>Kleiton</c:v>
                </c:pt>
              </c:strCache>
            </c:strRef>
          </c:cat>
          <c:val>
            <c:numRef>
              <c:f>'Tabela Dinamica'!$B$4:$B$9</c:f>
              <c:numCache>
                <c:formatCode>_-[$R$-416]\ * #,##0.00_-;\-[$R$-416]\ * #,##0.00_-;_-[$R$-416]\ * "-"??_-;_-@_-</c:formatCode>
                <c:ptCount val="5"/>
                <c:pt idx="0">
                  <c:v>1800</c:v>
                </c:pt>
                <c:pt idx="1">
                  <c:v>1000</c:v>
                </c:pt>
                <c:pt idx="2">
                  <c:v>1300</c:v>
                </c:pt>
                <c:pt idx="3">
                  <c:v>2200</c:v>
                </c:pt>
                <c:pt idx="4">
                  <c:v>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F4-4F59-976B-A061EF6AA9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047475904"/>
        <c:axId val="1047474464"/>
      </c:barChart>
      <c:catAx>
        <c:axId val="10474759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%"/>
                <a:lumOff val="8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7474464"/>
        <c:crosses val="autoZero"/>
        <c:auto val="1"/>
        <c:lblAlgn val="ctr"/>
        <c:lblOffset val="100"/>
        <c:noMultiLvlLbl val="0"/>
      </c:catAx>
      <c:valAx>
        <c:axId val="10474744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numFmt formatCode="_-[$R$-416]\ * #,##0.00_-;\-[$R$-416]\ * #,##0.00_-;_-[$R$-416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7475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[Dashboard.xlsx]Tabela Dinamica!Tabela dinâmica6</c:name>
    <c:fmtId val="2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'Tabela Dinamica'!$F$3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'Tabela Dinamica'!$E$4:$E$16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Sept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'Tabela Dinamica'!$F$4:$F$16</c:f>
              <c:numCache>
                <c:formatCode>_-[$R$-416]\ * #,##0.00_-;\-[$R$-416]\ * #,##0.00_-;_-[$R$-416]\ * "-"??_-;_-@_-</c:formatCode>
                <c:ptCount val="12"/>
                <c:pt idx="0">
                  <c:v>2500</c:v>
                </c:pt>
                <c:pt idx="1">
                  <c:v>2215</c:v>
                </c:pt>
                <c:pt idx="2">
                  <c:v>1350</c:v>
                </c:pt>
                <c:pt idx="3">
                  <c:v>820</c:v>
                </c:pt>
                <c:pt idx="4">
                  <c:v>2400</c:v>
                </c:pt>
                <c:pt idx="5">
                  <c:v>1170</c:v>
                </c:pt>
                <c:pt idx="6">
                  <c:v>1800</c:v>
                </c:pt>
                <c:pt idx="7">
                  <c:v>700</c:v>
                </c:pt>
                <c:pt idx="8">
                  <c:v>740</c:v>
                </c:pt>
                <c:pt idx="9">
                  <c:v>2000</c:v>
                </c:pt>
                <c:pt idx="10">
                  <c:v>1450</c:v>
                </c:pt>
                <c:pt idx="11">
                  <c:v>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89-4865-AED5-860FF386BA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90131296"/>
        <c:axId val="1290134176"/>
      </c:barChart>
      <c:catAx>
        <c:axId val="1290131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%"/>
                <a:lumOff val="8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0134176"/>
        <c:crosses val="autoZero"/>
        <c:auto val="1"/>
        <c:lblAlgn val="ctr"/>
        <c:lblOffset val="100"/>
        <c:noMultiLvlLbl val="0"/>
      </c:catAx>
      <c:valAx>
        <c:axId val="1290134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numFmt formatCode="_-[$R$-416]\ * #,##0.00_-;\-[$R$-416]\ * #,##0.00_-;_-[$R$-416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0131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[Dashboard.xlsx]Tabela Dinamica!Tabela dinâmica8</c:name>
    <c:fmtId val="3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'Tabela Dinamica'!$N$3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'Tabela Dinamica'!$M$4:$M$9</c:f>
              <c:strCache>
                <c:ptCount val="5"/>
                <c:pt idx="0">
                  <c:v>Mouse</c:v>
                </c:pt>
                <c:pt idx="1">
                  <c:v>Placa de Video</c:v>
                </c:pt>
                <c:pt idx="2">
                  <c:v>PlacaMae</c:v>
                </c:pt>
                <c:pt idx="3">
                  <c:v>Processador</c:v>
                </c:pt>
                <c:pt idx="4">
                  <c:v>Teclado</c:v>
                </c:pt>
              </c:strCache>
            </c:strRef>
          </c:cat>
          <c:val>
            <c:numRef>
              <c:f>'Tabela Dinamica'!$N$4:$N$9</c:f>
              <c:numCache>
                <c:formatCode>_-[$R$-416]\ * #,##0.00_-;\-[$R$-416]\ * #,##0.00_-;_-[$R$-416]\ * "-"??_-;_-@_-</c:formatCode>
                <c:ptCount val="5"/>
                <c:pt idx="0">
                  <c:v>1320</c:v>
                </c:pt>
                <c:pt idx="1">
                  <c:v>3300</c:v>
                </c:pt>
                <c:pt idx="2">
                  <c:v>3550</c:v>
                </c:pt>
                <c:pt idx="3">
                  <c:v>3800</c:v>
                </c:pt>
                <c:pt idx="4">
                  <c:v>2180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2F-4292-9CCB-3FC53CFE0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59463568"/>
        <c:axId val="1159462608"/>
      </c:barChart>
      <c:catAx>
        <c:axId val="1159463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%"/>
                <a:lumOff val="8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9462608"/>
        <c:crosses val="autoZero"/>
        <c:auto val="1"/>
        <c:lblAlgn val="ctr"/>
        <c:lblOffset val="100"/>
        <c:noMultiLvlLbl val="0"/>
      </c:catAx>
      <c:valAx>
        <c:axId val="115946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numFmt formatCode="_-[$R$-416]\ * #,##0.00_-;\-[$R$-416]\ * #,##0.00_-;_-[$R$-416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9463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[Dashboard.xlsx]Tabela Dinamica!Tabela dinâmica7</c:name>
    <c:fmtId val="8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</c:pivotFmt>
      <c:pivotFmt>
        <c:idx val="7"/>
      </c:pivotFmt>
      <c:pivotFmt>
        <c:idx val="8"/>
      </c:pivotFmt>
      <c:pivotFmt>
        <c:idx val="9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circle"/>
          <c:size val="6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%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1"/>
        <c:spPr>
          <a:solidFill>
            <a:schemeClr val="accent2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2"/>
        <c:spPr>
          <a:solidFill>
            <a:schemeClr val="accent3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3"/>
        <c:spPr>
          <a:solidFill>
            <a:schemeClr val="accent4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4"/>
        <c:spPr>
          <a:solidFill>
            <a:schemeClr val="accent5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5"/>
        <c:spPr>
          <a:solidFill>
            <a:schemeClr val="accent6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6"/>
        <c:spPr>
          <a:solidFill>
            <a:schemeClr val="accent1">
              <a:lumMod val="60%"/>
            </a:schemeClr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'Tabela Dinamica'!$I$3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C83-4884-B2AD-A5BE1E64F5B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C83-4884-B2AD-A5BE1E64F5B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C83-4884-B2AD-A5BE1E64F5B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C83-4884-B2AD-A5BE1E64F5B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C83-4884-B2AD-A5BE1E64F5B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C83-4884-B2AD-A5BE1E64F5B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%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C83-4884-B2AD-A5BE1E64F5B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%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%"/>
                      <a:lumOff val="65%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'Tabela Dinamica'!$H$4:$H$11</c:f>
              <c:strCache>
                <c:ptCount val="7"/>
                <c:pt idx="0">
                  <c:v>BA</c:v>
                </c:pt>
                <c:pt idx="1">
                  <c:v>DF</c:v>
                </c:pt>
                <c:pt idx="2">
                  <c:v>ES</c:v>
                </c:pt>
                <c:pt idx="3">
                  <c:v>MA</c:v>
                </c:pt>
                <c:pt idx="4">
                  <c:v>MG</c:v>
                </c:pt>
                <c:pt idx="5">
                  <c:v>RJ</c:v>
                </c:pt>
                <c:pt idx="6">
                  <c:v>SP</c:v>
                </c:pt>
              </c:strCache>
            </c:strRef>
          </c:cat>
          <c:val>
            <c:numRef>
              <c:f>'Tabela Dinamica'!$I$4:$I$11</c:f>
              <c:numCache>
                <c:formatCode>_-[$R$-416]\ * #,##0.00_-;\-[$R$-416]\ * #,##0.00_-;_-[$R$-416]\ * "-"??_-;_-@_-</c:formatCode>
                <c:ptCount val="7"/>
                <c:pt idx="0">
                  <c:v>2600</c:v>
                </c:pt>
                <c:pt idx="1">
                  <c:v>3195</c:v>
                </c:pt>
                <c:pt idx="2">
                  <c:v>4750</c:v>
                </c:pt>
                <c:pt idx="3">
                  <c:v>1150</c:v>
                </c:pt>
                <c:pt idx="4">
                  <c:v>1740</c:v>
                </c:pt>
                <c:pt idx="5">
                  <c:v>1310</c:v>
                </c:pt>
                <c:pt idx="6">
                  <c:v>2700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DC83-4884-B2AD-A5BE1E64F5BC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[Dashboard.xlsx]Tabela Dinamica!Tabela dinâmica6</c:name>
    <c:fmtId val="3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cap="all" spc="0" baseline="0%">
                <a:gradFill>
                  <a:gsLst>
                    <a:gs pos="0%">
                      <a:schemeClr val="dk1">
                        <a:lumMod val="50%"/>
                        <a:lumOff val="50%"/>
                      </a:schemeClr>
                    </a:gs>
                    <a:gs pos="100%">
                      <a:schemeClr val="dk1">
                        <a:lumMod val="85%"/>
                        <a:lumOff val="15%"/>
                      </a:schemeClr>
                    </a:gs>
                  </a:gsLst>
                  <a:lin ang="5400000" scaled="0"/>
                </a:gradFill>
                <a:latin typeface="+mn-lt"/>
                <a:ea typeface="+mn-ea"/>
                <a:cs typeface="+mn-cs"/>
              </a:defRPr>
            </a:pPr>
            <a:r>
              <a:rPr lang="en-US"/>
              <a:t>evolução</a:t>
            </a:r>
            <a:r>
              <a:rPr lang="en-US" baseline="0%"/>
              <a:t> das vendas por mÊs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cap="all" spc="0" baseline="0%">
              <a:gradFill>
                <a:gsLst>
                  <a:gs pos="0%">
                    <a:schemeClr val="dk1">
                      <a:lumMod val="50%"/>
                      <a:lumOff val="50%"/>
                    </a:schemeClr>
                  </a:gs>
                  <a:gs pos="100%">
                    <a:schemeClr val="dk1">
                      <a:lumMod val="85%"/>
                      <a:lumOff val="15%"/>
                    </a:schemeClr>
                  </a:gs>
                </a:gsLst>
                <a:lin ang="5400000" scaled="0"/>
              </a:gra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 cap="rnd" cmpd="sng" algn="ctr">
            <a:solidFill>
              <a:schemeClr val="accent1">
                <a:shade val="95%"/>
                <a:satMod val="105%"/>
              </a:schemeClr>
            </a:solidFill>
            <a:round/>
          </a:ln>
          <a:effectLst/>
        </c:spPr>
        <c:marker>
          <c:symbol val="circle"/>
          <c:size val="17"/>
          <c:spPr>
            <a:solidFill>
              <a:schemeClr val="l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%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 cap="rnd" cmpd="sng" algn="ctr">
            <a:solidFill>
              <a:schemeClr val="accent1">
                <a:shade val="95%"/>
                <a:satMod val="105%"/>
              </a:schemeClr>
            </a:solidFill>
            <a:round/>
          </a:ln>
          <a:effectLst/>
        </c:spPr>
        <c:marker>
          <c:symbol val="circle"/>
          <c:size val="17"/>
          <c:spPr>
            <a:solidFill>
              <a:schemeClr val="l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%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19050" cap="rnd" cmpd="sng" algn="ctr">
            <a:solidFill>
              <a:schemeClr val="accent1">
                <a:shade val="95%"/>
                <a:satMod val="105%"/>
              </a:schemeClr>
            </a:solidFill>
            <a:round/>
          </a:ln>
          <a:effectLst/>
        </c:spPr>
        <c:marker>
          <c:symbol val="circle"/>
          <c:size val="17"/>
          <c:spPr>
            <a:solidFill>
              <a:schemeClr val="l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%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'Tabela Dinamica'!$F$3</c:f>
              <c:strCache>
                <c:ptCount val="1"/>
                <c:pt idx="0">
                  <c:v>Total</c:v>
                </c:pt>
              </c:strCache>
            </c:strRef>
          </c:tx>
          <c:spPr>
            <a:ln w="19050" cap="rnd" cmpd="sng" algn="ctr">
              <a:solidFill>
                <a:schemeClr val="accent1">
                  <a:shade val="95%"/>
                  <a:satMod val="105%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%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%"/>
                          <a:lumOff val="65%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'Tabela Dinamica'!$E$4:$E$16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Sept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'Tabela Dinamica'!$F$4:$F$16</c:f>
              <c:numCache>
                <c:formatCode>_-[$R$-416]\ * #,##0.00_-;\-[$R$-416]\ * #,##0.00_-;_-[$R$-416]\ * "-"??_-;_-@_-</c:formatCode>
                <c:ptCount val="12"/>
                <c:pt idx="0">
                  <c:v>2500</c:v>
                </c:pt>
                <c:pt idx="1">
                  <c:v>2215</c:v>
                </c:pt>
                <c:pt idx="2">
                  <c:v>1350</c:v>
                </c:pt>
                <c:pt idx="3">
                  <c:v>820</c:v>
                </c:pt>
                <c:pt idx="4">
                  <c:v>2400</c:v>
                </c:pt>
                <c:pt idx="5">
                  <c:v>1170</c:v>
                </c:pt>
                <c:pt idx="6">
                  <c:v>1800</c:v>
                </c:pt>
                <c:pt idx="7">
                  <c:v>700</c:v>
                </c:pt>
                <c:pt idx="8">
                  <c:v>740</c:v>
                </c:pt>
                <c:pt idx="9">
                  <c:v>2000</c:v>
                </c:pt>
                <c:pt idx="10">
                  <c:v>1450</c:v>
                </c:pt>
                <c:pt idx="11">
                  <c:v>300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DFA-4F35-9763-ECA47AC5FD6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270409776"/>
        <c:axId val="1270402096"/>
      </c:lineChart>
      <c:catAx>
        <c:axId val="1270409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%"/>
                <a:lumOff val="8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%">
                <a:solidFill>
                  <a:schemeClr val="dk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0402096"/>
        <c:crosses val="autoZero"/>
        <c:auto val="1"/>
        <c:lblAlgn val="ctr"/>
        <c:lblOffset val="100"/>
        <c:noMultiLvlLbl val="0"/>
      </c:catAx>
      <c:valAx>
        <c:axId val="1270402096"/>
        <c:scaling>
          <c:orientation val="minMax"/>
        </c:scaling>
        <c:delete val="1"/>
        <c:axPos val="l"/>
        <c:numFmt formatCode="_-[$R$-416]\ * #,##0.00_-;\-[$R$-416]\ * #,##0.00_-;_-[$R$-416]\ * &quot;-&quot;??_-;_-@_-" sourceLinked="1"/>
        <c:majorTickMark val="none"/>
        <c:minorTickMark val="none"/>
        <c:tickLblPos val="nextTo"/>
        <c:crossAx val="12704097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%">
              <a:solidFill>
                <a:schemeClr val="dk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[Dashboard.xlsx]Tabela Dinamica!Tabela dinâmica8</c:name>
    <c:fmtId val="4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PRODUTOS MAIS VENDIDOS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'Tabela Dinamica'!$N$3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%">
                    <a:solidFill>
                      <a:schemeClr val="tx1">
                        <a:lumMod val="75%"/>
                        <a:lumOff val="2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%"/>
                          <a:lumOff val="65%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'Tabela Dinamica'!$M$4:$M$9</c:f>
              <c:strCache>
                <c:ptCount val="5"/>
                <c:pt idx="0">
                  <c:v>Mouse</c:v>
                </c:pt>
                <c:pt idx="1">
                  <c:v>Placa de Video</c:v>
                </c:pt>
                <c:pt idx="2">
                  <c:v>PlacaMae</c:v>
                </c:pt>
                <c:pt idx="3">
                  <c:v>Processador</c:v>
                </c:pt>
                <c:pt idx="4">
                  <c:v>Teclado</c:v>
                </c:pt>
              </c:strCache>
            </c:strRef>
          </c:cat>
          <c:val>
            <c:numRef>
              <c:f>'Tabela Dinamica'!$N$4:$N$9</c:f>
              <c:numCache>
                <c:formatCode>_-[$R$-416]\ * #,##0.00_-;\-[$R$-416]\ * #,##0.00_-;_-[$R$-416]\ * "-"??_-;_-@_-</c:formatCode>
                <c:ptCount val="5"/>
                <c:pt idx="0">
                  <c:v>1320</c:v>
                </c:pt>
                <c:pt idx="1">
                  <c:v>3300</c:v>
                </c:pt>
                <c:pt idx="2">
                  <c:v>3550</c:v>
                </c:pt>
                <c:pt idx="3">
                  <c:v>3800</c:v>
                </c:pt>
                <c:pt idx="4">
                  <c:v>2180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C8-4AEA-8341-3E9BC455BE1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165308736"/>
        <c:axId val="1165307296"/>
      </c:barChart>
      <c:catAx>
        <c:axId val="1165308736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%"/>
                <a:lumOff val="8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5307296"/>
        <c:crosses val="autoZero"/>
        <c:auto val="1"/>
        <c:lblAlgn val="ctr"/>
        <c:lblOffset val="100"/>
        <c:noMultiLvlLbl val="0"/>
      </c:catAx>
      <c:valAx>
        <c:axId val="1165307296"/>
        <c:scaling>
          <c:orientation val="minMax"/>
        </c:scaling>
        <c:delete val="0"/>
        <c:axPos val="b"/>
        <c:numFmt formatCode="_-[$R$-416]\ * #,##0.00_-;\-[$R$-416]\ * #,##0.00_-;_-[$R$-416]\ * &quot;-&quot;??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53087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[Dashboard.xlsx]Tabela Dinamica!Tabela dinâmica5</c:name>
    <c:fmtId val="2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</a:t>
            </a:r>
            <a:r>
              <a:rPr lang="en-US" baseline="0%"/>
              <a:t> 5 CLIENTES POR VALOR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'Tabela Dinamica'!$B$3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%">
                    <a:solidFill>
                      <a:schemeClr val="tx1">
                        <a:lumMod val="75%"/>
                        <a:lumOff val="2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%"/>
                          <a:lumOff val="65%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'Tabela Dinamica'!$A$4:$A$9</c:f>
              <c:strCache>
                <c:ptCount val="5"/>
                <c:pt idx="0">
                  <c:v>Alice</c:v>
                </c:pt>
                <c:pt idx="1">
                  <c:v>Bruna</c:v>
                </c:pt>
                <c:pt idx="2">
                  <c:v>Claudio</c:v>
                </c:pt>
                <c:pt idx="3">
                  <c:v>Elaine</c:v>
                </c:pt>
                <c:pt idx="4">
                  <c:v>Kleiton</c:v>
                </c:pt>
              </c:strCache>
            </c:strRef>
          </c:cat>
          <c:val>
            <c:numRef>
              <c:f>'Tabela Dinamica'!$B$4:$B$9</c:f>
              <c:numCache>
                <c:formatCode>_-[$R$-416]\ * #,##0.00_-;\-[$R$-416]\ * #,##0.00_-;_-[$R$-416]\ * "-"??_-;_-@_-</c:formatCode>
                <c:ptCount val="5"/>
                <c:pt idx="0">
                  <c:v>1800</c:v>
                </c:pt>
                <c:pt idx="1">
                  <c:v>1000</c:v>
                </c:pt>
                <c:pt idx="2">
                  <c:v>1300</c:v>
                </c:pt>
                <c:pt idx="3">
                  <c:v>2200</c:v>
                </c:pt>
                <c:pt idx="4">
                  <c:v>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56-4A86-A3A4-18DBA08CB8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42386944"/>
        <c:axId val="1242391264"/>
      </c:barChart>
      <c:catAx>
        <c:axId val="124238694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%"/>
                <a:lumOff val="8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2391264"/>
        <c:crosses val="autoZero"/>
        <c:auto val="1"/>
        <c:lblAlgn val="ctr"/>
        <c:lblOffset val="100"/>
        <c:noMultiLvlLbl val="0"/>
      </c:catAx>
      <c:valAx>
        <c:axId val="1242391264"/>
        <c:scaling>
          <c:orientation val="minMax"/>
        </c:scaling>
        <c:delete val="0"/>
        <c:axPos val="b"/>
        <c:numFmt formatCode="_-[$R$-416]\ * #,##0.00_-;\-[$R$-416]\ * #,##0.00_-;_-[$R$-416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2386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[Dashboard.xlsx]Tabela Dinamica!Tabela dinâmica7</c:name>
    <c:fmtId val="2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baseline="0%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/>
              <a:t>VENDAS</a:t>
            </a:r>
            <a:r>
              <a:rPr lang="en-US" sz="1400" baseline="0%"/>
              <a:t> POR ESTADO</a:t>
            </a:r>
            <a:endParaRPr lang="en-US" sz="1400"/>
          </a:p>
        </c:rich>
      </c:tx>
      <c:layout>
        <c:manualLayout>
          <c:xMode val="edge"/>
          <c:yMode val="edge"/>
          <c:x val="0.30152077865266841"/>
          <c:y val="0.114720034995625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%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</c:pivotFmt>
      <c:pivotFmt>
        <c:idx val="7"/>
        <c:spPr>
          <a:gradFill rotWithShape="1">
            <a:gsLst>
              <a:gs pos="0%">
                <a:schemeClr val="accent1">
                  <a:satMod val="103%"/>
                  <a:lumMod val="102%"/>
                  <a:tint val="94%"/>
                </a:schemeClr>
              </a:gs>
              <a:gs pos="50%">
                <a:schemeClr val="accent1">
                  <a:satMod val="110%"/>
                  <a:lumMod val="100%"/>
                  <a:shade val="100%"/>
                </a:schemeClr>
              </a:gs>
              <a:gs pos="100%">
                <a:schemeClr val="accent1">
                  <a:lumMod val="99%"/>
                  <a:satMod val="120%"/>
                  <a:shade val="78%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gradFill rotWithShape="1">
            <a:gsLst>
              <a:gs pos="0%">
                <a:schemeClr val="accent1">
                  <a:satMod val="103%"/>
                  <a:lumMod val="102%"/>
                  <a:tint val="94%"/>
                </a:schemeClr>
              </a:gs>
              <a:gs pos="50%">
                <a:schemeClr val="accent1">
                  <a:satMod val="110%"/>
                  <a:lumMod val="100%"/>
                  <a:shade val="100%"/>
                </a:schemeClr>
              </a:gs>
              <a:gs pos="100%">
                <a:schemeClr val="accent1">
                  <a:lumMod val="99%"/>
                  <a:satMod val="120%"/>
                  <a:shade val="78%"/>
                </a:schemeClr>
              </a:gs>
            </a:gsLst>
            <a:lin ang="5400000" scaled="0"/>
          </a:gradFill>
          <a:ln>
            <a:noFill/>
          </a:ln>
          <a:effectLst/>
        </c:spPr>
        <c:dLbl>
          <c:idx val="0"/>
          <c:layout>
            <c:manualLayout>
              <c:x val="6.1111111111111109E-2"/>
              <c:y val="-5.555555555555555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gradFill rotWithShape="1">
            <a:gsLst>
              <a:gs pos="0%">
                <a:schemeClr val="accent2">
                  <a:satMod val="103%"/>
                  <a:lumMod val="102%"/>
                  <a:tint val="94%"/>
                </a:schemeClr>
              </a:gs>
              <a:gs pos="50%">
                <a:schemeClr val="accent2">
                  <a:satMod val="110%"/>
                  <a:lumMod val="100%"/>
                  <a:shade val="100%"/>
                </a:schemeClr>
              </a:gs>
              <a:gs pos="100%">
                <a:schemeClr val="accent2">
                  <a:lumMod val="99%"/>
                  <a:satMod val="120%"/>
                  <a:shade val="78%"/>
                </a:schemeClr>
              </a:gs>
            </a:gsLst>
            <a:lin ang="5400000" scaled="0"/>
          </a:gradFill>
          <a:ln>
            <a:noFill/>
          </a:ln>
          <a:effectLst/>
        </c:spPr>
        <c:dLbl>
          <c:idx val="0"/>
          <c:layout>
            <c:manualLayout>
              <c:x val="8.611111111111111E-2"/>
              <c:y val="4.6296296296296294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gradFill rotWithShape="1">
            <a:gsLst>
              <a:gs pos="0%">
                <a:schemeClr val="accent3">
                  <a:satMod val="103%"/>
                  <a:lumMod val="102%"/>
                  <a:tint val="94%"/>
                </a:schemeClr>
              </a:gs>
              <a:gs pos="50%">
                <a:schemeClr val="accent3">
                  <a:satMod val="110%"/>
                  <a:lumMod val="100%"/>
                  <a:shade val="100%"/>
                </a:schemeClr>
              </a:gs>
              <a:gs pos="100%">
                <a:schemeClr val="accent3">
                  <a:lumMod val="99%"/>
                  <a:satMod val="120%"/>
                  <a:shade val="78%"/>
                </a:schemeClr>
              </a:gs>
            </a:gsLst>
            <a:lin ang="5400000" scaled="0"/>
          </a:gradFill>
          <a:ln>
            <a:noFill/>
          </a:ln>
          <a:effectLst/>
        </c:spPr>
        <c:dLbl>
          <c:idx val="0"/>
          <c:layout>
            <c:manualLayout>
              <c:x val="2.7777777777777728E-2"/>
              <c:y val="0.10648148148148148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gradFill rotWithShape="1">
            <a:gsLst>
              <a:gs pos="0%">
                <a:schemeClr val="accent5">
                  <a:satMod val="103%"/>
                  <a:lumMod val="102%"/>
                  <a:tint val="94%"/>
                </a:schemeClr>
              </a:gs>
              <a:gs pos="50%">
                <a:schemeClr val="accent5">
                  <a:satMod val="110%"/>
                  <a:lumMod val="100%"/>
                  <a:shade val="100%"/>
                </a:schemeClr>
              </a:gs>
              <a:gs pos="100%">
                <a:schemeClr val="accent5">
                  <a:lumMod val="99%"/>
                  <a:satMod val="120%"/>
                  <a:shade val="78%"/>
                </a:schemeClr>
              </a:gs>
            </a:gsLst>
            <a:lin ang="5400000" scaled="0"/>
          </a:gradFill>
          <a:ln>
            <a:noFill/>
          </a:ln>
          <a:effectLst/>
        </c:spPr>
        <c:dLbl>
          <c:idx val="0"/>
          <c:layout>
            <c:manualLayout>
              <c:x val="-9.9999999999999992E-2"/>
              <c:y val="4.6296296296295444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gradFill rotWithShape="1">
            <a:gsLst>
              <a:gs pos="0%">
                <a:schemeClr val="accent1">
                  <a:lumMod val="60%"/>
                  <a:satMod val="103%"/>
                  <a:lumMod val="102%"/>
                  <a:tint val="94%"/>
                </a:schemeClr>
              </a:gs>
              <a:gs pos="50%">
                <a:schemeClr val="accent1">
                  <a:lumMod val="60%"/>
                  <a:satMod val="110%"/>
                  <a:lumMod val="100%"/>
                  <a:shade val="100%"/>
                </a:schemeClr>
              </a:gs>
              <a:gs pos="100%">
                <a:schemeClr val="accent1">
                  <a:lumMod val="60%"/>
                  <a:lumMod val="99%"/>
                  <a:satMod val="120%"/>
                  <a:shade val="78%"/>
                </a:schemeClr>
              </a:gs>
            </a:gsLst>
            <a:lin ang="5400000" scaled="0"/>
          </a:gradFill>
          <a:ln>
            <a:noFill/>
          </a:ln>
          <a:effectLst/>
        </c:spPr>
        <c:dLbl>
          <c:idx val="0"/>
          <c:layout>
            <c:manualLayout>
              <c:x val="-4.166666666666672E-2"/>
              <c:y val="-7.8703703703703706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gradFill rotWithShape="1">
            <a:gsLst>
              <a:gs pos="0%">
                <a:schemeClr val="accent4">
                  <a:satMod val="103%"/>
                  <a:lumMod val="102%"/>
                  <a:tint val="94%"/>
                </a:schemeClr>
              </a:gs>
              <a:gs pos="50%">
                <a:schemeClr val="accent4">
                  <a:satMod val="110%"/>
                  <a:lumMod val="100%"/>
                  <a:shade val="100%"/>
                </a:schemeClr>
              </a:gs>
              <a:gs pos="100%">
                <a:schemeClr val="accent4">
                  <a:lumMod val="99%"/>
                  <a:satMod val="120%"/>
                  <a:shade val="78%"/>
                </a:schemeClr>
              </a:gs>
            </a:gsLst>
            <a:lin ang="5400000" scaled="0"/>
          </a:gradFill>
          <a:ln>
            <a:noFill/>
          </a:ln>
          <a:effectLst/>
        </c:spPr>
        <c:dLbl>
          <c:idx val="0"/>
          <c:layout>
            <c:manualLayout>
              <c:x val="-6.6666666666666666E-2"/>
              <c:y val="2.314814814814814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gradFill rotWithShape="1">
            <a:gsLst>
              <a:gs pos="0%">
                <a:schemeClr val="accent6">
                  <a:satMod val="103%"/>
                  <a:lumMod val="102%"/>
                  <a:tint val="94%"/>
                </a:schemeClr>
              </a:gs>
              <a:gs pos="50%">
                <a:schemeClr val="accent6">
                  <a:satMod val="110%"/>
                  <a:lumMod val="100%"/>
                  <a:shade val="100%"/>
                </a:schemeClr>
              </a:gs>
              <a:gs pos="100%">
                <a:schemeClr val="accent6">
                  <a:lumMod val="99%"/>
                  <a:satMod val="120%"/>
                  <a:shade val="78%"/>
                </a:schemeClr>
              </a:gs>
            </a:gsLst>
            <a:lin ang="5400000" scaled="0"/>
          </a:gradFill>
          <a:ln>
            <a:noFill/>
          </a:ln>
          <a:effectLst/>
        </c:spPr>
        <c:dLbl>
          <c:idx val="0"/>
          <c:layout>
            <c:manualLayout>
              <c:x val="-8.8888888888888892E-2"/>
              <c:y val="-4.6296296296296294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doughnutChart>
        <c:varyColors val="1"/>
        <c:ser>
          <c:idx val="0"/>
          <c:order val="0"/>
          <c:tx>
            <c:strRef>
              <c:f>'Tabela Dinamica'!$I$3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%">
                    <a:schemeClr val="accent1">
                      <a:satMod val="103%"/>
                      <a:lumMod val="102%"/>
                      <a:tint val="94%"/>
                    </a:schemeClr>
                  </a:gs>
                  <a:gs pos="50%">
                    <a:schemeClr val="accent1">
                      <a:satMod val="110%"/>
                      <a:lumMod val="100%"/>
                      <a:shade val="100%"/>
                    </a:schemeClr>
                  </a:gs>
                  <a:gs pos="100%">
                    <a:schemeClr val="accent1">
                      <a:lumMod val="99%"/>
                      <a:satMod val="120%"/>
                      <a:shade val="78%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D60B-43BD-BB05-BE69877D2794}"/>
              </c:ext>
            </c:extLst>
          </c:dPt>
          <c:dPt>
            <c:idx val="1"/>
            <c:bubble3D val="0"/>
            <c:spPr>
              <a:gradFill rotWithShape="1">
                <a:gsLst>
                  <a:gs pos="0%">
                    <a:schemeClr val="accent2">
                      <a:satMod val="103%"/>
                      <a:lumMod val="102%"/>
                      <a:tint val="94%"/>
                    </a:schemeClr>
                  </a:gs>
                  <a:gs pos="50%">
                    <a:schemeClr val="accent2">
                      <a:satMod val="110%"/>
                      <a:lumMod val="100%"/>
                      <a:shade val="100%"/>
                    </a:schemeClr>
                  </a:gs>
                  <a:gs pos="100%">
                    <a:schemeClr val="accent2">
                      <a:lumMod val="99%"/>
                      <a:satMod val="120%"/>
                      <a:shade val="78%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60B-43BD-BB05-BE69877D2794}"/>
              </c:ext>
            </c:extLst>
          </c:dPt>
          <c:dPt>
            <c:idx val="2"/>
            <c:bubble3D val="0"/>
            <c:spPr>
              <a:gradFill rotWithShape="1">
                <a:gsLst>
                  <a:gs pos="0%">
                    <a:schemeClr val="accent3">
                      <a:satMod val="103%"/>
                      <a:lumMod val="102%"/>
                      <a:tint val="94%"/>
                    </a:schemeClr>
                  </a:gs>
                  <a:gs pos="50%">
                    <a:schemeClr val="accent3">
                      <a:satMod val="110%"/>
                      <a:lumMod val="100%"/>
                      <a:shade val="100%"/>
                    </a:schemeClr>
                  </a:gs>
                  <a:gs pos="100%">
                    <a:schemeClr val="accent3">
                      <a:lumMod val="99%"/>
                      <a:satMod val="120%"/>
                      <a:shade val="78%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D60B-43BD-BB05-BE69877D2794}"/>
              </c:ext>
            </c:extLst>
          </c:dPt>
          <c:dPt>
            <c:idx val="3"/>
            <c:bubble3D val="0"/>
            <c:spPr>
              <a:gradFill rotWithShape="1">
                <a:gsLst>
                  <a:gs pos="0%">
                    <a:schemeClr val="accent4">
                      <a:satMod val="103%"/>
                      <a:lumMod val="102%"/>
                      <a:tint val="94%"/>
                    </a:schemeClr>
                  </a:gs>
                  <a:gs pos="50%">
                    <a:schemeClr val="accent4">
                      <a:satMod val="110%"/>
                      <a:lumMod val="100%"/>
                      <a:shade val="100%"/>
                    </a:schemeClr>
                  </a:gs>
                  <a:gs pos="100%">
                    <a:schemeClr val="accent4">
                      <a:lumMod val="99%"/>
                      <a:satMod val="120%"/>
                      <a:shade val="78%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D60B-43BD-BB05-BE69877D2794}"/>
              </c:ext>
            </c:extLst>
          </c:dPt>
          <c:dPt>
            <c:idx val="4"/>
            <c:bubble3D val="0"/>
            <c:spPr>
              <a:gradFill rotWithShape="1">
                <a:gsLst>
                  <a:gs pos="0%">
                    <a:schemeClr val="accent5">
                      <a:satMod val="103%"/>
                      <a:lumMod val="102%"/>
                      <a:tint val="94%"/>
                    </a:schemeClr>
                  </a:gs>
                  <a:gs pos="50%">
                    <a:schemeClr val="accent5">
                      <a:satMod val="110%"/>
                      <a:lumMod val="100%"/>
                      <a:shade val="100%"/>
                    </a:schemeClr>
                  </a:gs>
                  <a:gs pos="100%">
                    <a:schemeClr val="accent5">
                      <a:lumMod val="99%"/>
                      <a:satMod val="120%"/>
                      <a:shade val="78%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D60B-43BD-BB05-BE69877D2794}"/>
              </c:ext>
            </c:extLst>
          </c:dPt>
          <c:dPt>
            <c:idx val="5"/>
            <c:bubble3D val="0"/>
            <c:spPr>
              <a:gradFill rotWithShape="1">
                <a:gsLst>
                  <a:gs pos="0%">
                    <a:schemeClr val="accent6">
                      <a:satMod val="103%"/>
                      <a:lumMod val="102%"/>
                      <a:tint val="94%"/>
                    </a:schemeClr>
                  </a:gs>
                  <a:gs pos="50%">
                    <a:schemeClr val="accent6">
                      <a:satMod val="110%"/>
                      <a:lumMod val="100%"/>
                      <a:shade val="100%"/>
                    </a:schemeClr>
                  </a:gs>
                  <a:gs pos="100%">
                    <a:schemeClr val="accent6">
                      <a:lumMod val="99%"/>
                      <a:satMod val="120%"/>
                      <a:shade val="78%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D60B-43BD-BB05-BE69877D2794}"/>
              </c:ext>
            </c:extLst>
          </c:dPt>
          <c:dPt>
            <c:idx val="6"/>
            <c:bubble3D val="0"/>
            <c:spPr>
              <a:gradFill rotWithShape="1">
                <a:gsLst>
                  <a:gs pos="0%">
                    <a:schemeClr val="accent1">
                      <a:lumMod val="60%"/>
                      <a:satMod val="103%"/>
                      <a:lumMod val="102%"/>
                      <a:tint val="94%"/>
                    </a:schemeClr>
                  </a:gs>
                  <a:gs pos="50%">
                    <a:schemeClr val="accent1">
                      <a:lumMod val="60%"/>
                      <a:satMod val="110%"/>
                      <a:lumMod val="100%"/>
                      <a:shade val="100%"/>
                    </a:schemeClr>
                  </a:gs>
                  <a:gs pos="100%">
                    <a:schemeClr val="accent1">
                      <a:lumMod val="60%"/>
                      <a:lumMod val="99%"/>
                      <a:satMod val="120%"/>
                      <a:shade val="78%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D60B-43BD-BB05-BE69877D2794}"/>
              </c:ext>
            </c:extLst>
          </c:dPt>
          <c:dLbls>
            <c:dLbl>
              <c:idx val="0"/>
              <c:layout>
                <c:manualLayout>
                  <c:x val="6.1111111111111109E-2"/>
                  <c:y val="-5.555555555555555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60B-43BD-BB05-BE69877D2794}"/>
                </c:ext>
              </c:extLst>
            </c:dLbl>
            <c:dLbl>
              <c:idx val="1"/>
              <c:layout>
                <c:manualLayout>
                  <c:x val="8.611111111111111E-2"/>
                  <c:y val="4.6296296296296294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60B-43BD-BB05-BE69877D2794}"/>
                </c:ext>
              </c:extLst>
            </c:dLbl>
            <c:dLbl>
              <c:idx val="2"/>
              <c:layout>
                <c:manualLayout>
                  <c:x val="2.7777777777777728E-2"/>
                  <c:y val="0.1064814814814814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60B-43BD-BB05-BE69877D2794}"/>
                </c:ext>
              </c:extLst>
            </c:dLbl>
            <c:dLbl>
              <c:idx val="3"/>
              <c:layout>
                <c:manualLayout>
                  <c:x val="-6.6666666666666666E-2"/>
                  <c:y val="2.314814814814814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60B-43BD-BB05-BE69877D2794}"/>
                </c:ext>
              </c:extLst>
            </c:dLbl>
            <c:dLbl>
              <c:idx val="4"/>
              <c:layout>
                <c:manualLayout>
                  <c:x val="-9.9999999999999992E-2"/>
                  <c:y val="4.6296296296295444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60B-43BD-BB05-BE69877D2794}"/>
                </c:ext>
              </c:extLst>
            </c:dLbl>
            <c:dLbl>
              <c:idx val="5"/>
              <c:layout>
                <c:manualLayout>
                  <c:x val="-8.8888888888888892E-2"/>
                  <c:y val="-4.6296296296296294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60B-43BD-BB05-BE69877D2794}"/>
                </c:ext>
              </c:extLst>
            </c:dLbl>
            <c:dLbl>
              <c:idx val="6"/>
              <c:layout>
                <c:manualLayout>
                  <c:x val="-4.166666666666672E-2"/>
                  <c:y val="-7.87037037037037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D60B-43BD-BB05-BE69877D279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%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2">
                      <a:lumMod val="35%"/>
                      <a:lumOff val="65%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'Tabela Dinamica'!$H$4:$H$11</c:f>
              <c:strCache>
                <c:ptCount val="7"/>
                <c:pt idx="0">
                  <c:v>BA</c:v>
                </c:pt>
                <c:pt idx="1">
                  <c:v>DF</c:v>
                </c:pt>
                <c:pt idx="2">
                  <c:v>ES</c:v>
                </c:pt>
                <c:pt idx="3">
                  <c:v>MA</c:v>
                </c:pt>
                <c:pt idx="4">
                  <c:v>MG</c:v>
                </c:pt>
                <c:pt idx="5">
                  <c:v>RJ</c:v>
                </c:pt>
                <c:pt idx="6">
                  <c:v>SP</c:v>
                </c:pt>
              </c:strCache>
            </c:strRef>
          </c:cat>
          <c:val>
            <c:numRef>
              <c:f>'Tabela Dinamica'!$I$4:$I$11</c:f>
              <c:numCache>
                <c:formatCode>_-[$R$-416]\ * #,##0.00_-;\-[$R$-416]\ * #,##0.00_-;_-[$R$-416]\ * "-"??_-;_-@_-</c:formatCode>
                <c:ptCount val="7"/>
                <c:pt idx="0">
                  <c:v>2600</c:v>
                </c:pt>
                <c:pt idx="1">
                  <c:v>3195</c:v>
                </c:pt>
                <c:pt idx="2">
                  <c:v>4750</c:v>
                </c:pt>
                <c:pt idx="3">
                  <c:v>1150</c:v>
                </c:pt>
                <c:pt idx="4">
                  <c:v>1740</c:v>
                </c:pt>
                <c:pt idx="5">
                  <c:v>1310</c:v>
                </c:pt>
                <c:pt idx="6">
                  <c:v>2700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60B-43BD-BB05-BE69877D27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%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2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3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4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5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6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7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8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style1.xml><?xml version="1.0" encoding="utf-8"?>
<cs:chartStyle xmlns:cs="http://schemas.microsoft.com/office/drawing/2012/chartStyle" xmlns:a="http://purl.oclc.org/ooxml/drawingml/main" id="216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%"/>
          <a:lumOff val="25%"/>
        </a:schemeClr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%"/>
            <a:lumOff val="50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purl.oclc.org/ooxml/drawingml/main" id="201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%"/>
          <a:lumOff val="35%"/>
        </a:schemeClr>
      </a:solidFill>
      <a:ln w="9525">
        <a:solidFill>
          <a:schemeClr val="tx1">
            <a:lumMod val="65%"/>
            <a:lumOff val="35%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%"/>
            <a:lumOff val="25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%"/>
            <a:lumOff val="85%"/>
          </a:schemeClr>
        </a:solidFill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purl.oclc.org/ooxml/drawingml/main" id="201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%"/>
          <a:lumOff val="35%"/>
        </a:schemeClr>
      </a:solidFill>
      <a:ln w="9525">
        <a:solidFill>
          <a:schemeClr val="tx1">
            <a:lumMod val="65%"/>
            <a:lumOff val="35%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%"/>
            <a:lumOff val="25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%"/>
            <a:lumOff val="85%"/>
          </a:schemeClr>
        </a:solidFill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purl.oclc.org/ooxml/drawingml/main" id="258">
  <cs:axisTitle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%"/>
          <a:lumOff val="25%"/>
        </a:schemeClr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%"/>
            <a:lumOff val="50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1" i="0" kern="1200" cap="all" spc="5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purl.oclc.org/ooxml/drawingml/main" id="234">
  <cs:axisTitle>
    <cs:lnRef idx="0"/>
    <cs:fillRef idx="0"/>
    <cs:effectRef idx="0"/>
    <cs:fontRef idx="minor">
      <a:schemeClr val="dk1">
        <a:lumMod val="65%"/>
        <a:lumOff val="35%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%"/>
        <a:lumOff val="35%"/>
      </a:schemeClr>
    </cs:fontRef>
    <cs:spPr>
      <a:ln w="9525" cap="flat" cmpd="sng" algn="ctr">
        <a:solidFill>
          <a:schemeClr val="dk1">
            <a:lumMod val="15%"/>
            <a:lumOff val="85%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%"/>
            <a:lumOff val="85%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%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 w="9575">
        <a:solidFill>
          <a:schemeClr val="lt1">
            <a:lumMod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%"/>
            <a:satMod val="105%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%"/>
        <a:lumOff val="35%"/>
      </a:schemeClr>
    </cs:fontRef>
    <cs:spPr>
      <a:ln w="9525">
        <a:solidFill>
          <a:schemeClr val="dk1">
            <a:lumMod val="15%"/>
            <a:lumOff val="85%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%"/>
          <a:lumOff val="25%"/>
        </a:schemeClr>
      </a:solidFill>
      <a:ln w="9525">
        <a:solidFill>
          <a:schemeClr val="dk1">
            <a:lumMod val="50%"/>
            <a:lumOff val="50%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%"/>
            <a:lumOff val="65%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%"/>
            <a:lumOff val="50%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%"/>
            <a:lumOff val="85%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%"/>
            <a:lumOff val="95%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%"/>
            <a:lumOff val="65%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%"/>
            <a:lumOff val="65%"/>
          </a:schemeClr>
        </a:solidFill>
      </a:ln>
    </cs:spPr>
  </cs:leaderLine>
  <cs:legend>
    <cs:lnRef idx="0"/>
    <cs:fillRef idx="0"/>
    <cs:effectRef idx="0"/>
    <cs:fontRef idx="minor">
      <a:schemeClr val="dk1">
        <a:lumMod val="65%"/>
        <a:lumOff val="35%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%"/>
        <a:lumOff val="35%"/>
      </a:schemeClr>
    </cs:fontRef>
    <cs:spPr>
      <a:ln w="9525" cap="flat" cmpd="sng" algn="ctr">
        <a:solidFill>
          <a:schemeClr val="dk1">
            <a:lumMod val="15%"/>
            <a:lumOff val="85%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%"/>
            <a:lumOff val="65%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%">
      <a:gradFill>
        <a:gsLst>
          <a:gs pos="0%">
            <a:schemeClr val="dk1">
              <a:lumMod val="50%"/>
              <a:lumOff val="50%"/>
            </a:schemeClr>
          </a:gs>
          <a:gs pos="100%">
            <a:schemeClr val="dk1">
              <a:lumMod val="85%"/>
              <a:lumOff val="15%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%"/>
            <a:lumOff val="50%"/>
          </a:schemeClr>
        </a:solidFill>
      </a:ln>
    </cs:spPr>
  </cs:upBar>
  <cs:valueAxis>
    <cs:lnRef idx="0"/>
    <cs:fillRef idx="0"/>
    <cs:effectRef idx="0"/>
    <cs:fontRef idx="minor">
      <a:schemeClr val="dk1">
        <a:lumMod val="65%"/>
        <a:lumOff val="35%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purl.oclc.org/ooxml/drawingml/main" id="216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%"/>
          <a:lumOff val="25%"/>
        </a:schemeClr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%"/>
            <a:lumOff val="50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purl.oclc.org/ooxml/drawingml/main" id="216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%"/>
          <a:lumOff val="25%"/>
        </a:schemeClr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%"/>
            <a:lumOff val="50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purl.oclc.org/ooxml/drawingml/main" id="255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%"/>
            <a:lumOff val="8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%"/>
            <a:lumOff val="85%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%"/>
            <a:lumOff val="85%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%"/>
          <a:lumOff val="35%"/>
        </a:schemeClr>
      </a:solidFill>
      <a:ln w="9525">
        <a:solidFill>
          <a:schemeClr val="tx1">
            <a:lumMod val="65%"/>
            <a:lumOff val="35%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%"/>
            <a:lumOff val="40%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%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%"/>
            <a:lumOff val="95%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%"/>
            <a:lumOff val="40%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%"/>
            <a:lumOff val="65%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%"/>
            <a:lumOff val="85%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%"/>
            <a:lumOff val="40%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%"/>
            <a:lumOff val="85%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purl.oclc.org/ooxml/officeDocument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purl.oclc.org/ooxml/officeDocument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purl.oclc.org/ooxml/officeDocument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purl.oclc.org/ooxml/officeDocument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3" Type="http://purl.oclc.org/ooxml/officeDocument/relationships/chart" Target="../charts/chart7.xml"/><Relationship Id="rId2" Type="http://purl.oclc.org/ooxml/officeDocument/relationships/chart" Target="../charts/chart6.xml"/><Relationship Id="rId1" Type="http://purl.oclc.org/ooxml/officeDocument/relationships/chart" Target="../charts/chart5.xml"/><Relationship Id="rId6" Type="http://purl.oclc.org/ooxml/officeDocument/relationships/image" Target="../media/image2.svg"/><Relationship Id="rId5" Type="http://purl.oclc.org/ooxml/officeDocument/relationships/image" Target="../media/image1.png"/><Relationship Id="rId4" Type="http://purl.oclc.org/ooxml/officeDocument/relationships/chart" Target="../charts/chart8.xml"/></Relationships>
</file>

<file path=xl/drawings/drawing1.xml><?xml version="1.0" encoding="utf-8"?>
<xdr:wsDr xmlns:xdr="http://purl.oclc.org/ooxml/drawingml/spreadsheetDrawing" xmlns:a="http://purl.oclc.org/ooxml/drawingml/main">
  <xdr:twoCellAnchor editAs="oneCell">
    <xdr:from>
      <xdr:col>3</xdr:col>
      <xdr:colOff>257173</xdr:colOff>
      <xdr:row>1</xdr:row>
      <xdr:rowOff>104775</xdr:rowOff>
    </xdr:from>
    <xdr:to>
      <xdr:col>14</xdr:col>
      <xdr:colOff>219075</xdr:colOff>
      <xdr:row>7</xdr:row>
      <xdr:rowOff>171450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4" name="cliente">
              <a:extLst>
                <a:ext uri="{FF2B5EF4-FFF2-40B4-BE49-F238E27FC236}">
                  <a16:creationId xmlns:a16="http://schemas.microsoft.com/office/drawing/2014/main" id="{55628789-F268-46E6-AABC-D53FF7E1041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5998" y="295275"/>
              <a:ext cx="6667502" cy="1209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NZ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3</xdr:col>
      <xdr:colOff>219074</xdr:colOff>
      <xdr:row>8</xdr:row>
      <xdr:rowOff>171450</xdr:rowOff>
    </xdr:from>
    <xdr:to>
      <xdr:col>14</xdr:col>
      <xdr:colOff>133349</xdr:colOff>
      <xdr:row>30</xdr:row>
      <xdr:rowOff>38100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6799D919-91DD-4B44-8644-B4C8EE4D29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1"/>
        </a:graphicData>
      </a:graphic>
    </xdr:graphicFrame>
    <xdr:clientData/>
  </xdr:twoCellAnchor>
</xdr:wsDr>
</file>

<file path=xl/drawings/drawing2.xml><?xml version="1.0" encoding="utf-8"?>
<xdr:wsDr xmlns:xdr="http://purl.oclc.org/ooxml/drawingml/spreadsheetDrawing" xmlns:a="http://purl.oclc.org/ooxml/drawingml/main">
  <xdr:twoCellAnchor>
    <xdr:from>
      <xdr:col>3</xdr:col>
      <xdr:colOff>523875</xdr:colOff>
      <xdr:row>2</xdr:row>
      <xdr:rowOff>28574</xdr:rowOff>
    </xdr:from>
    <xdr:to>
      <xdr:col>15</xdr:col>
      <xdr:colOff>561975</xdr:colOff>
      <xdr:row>18</xdr:row>
      <xdr:rowOff>38099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59BA8EB8-36D0-4CE8-9CC9-3EF9EF5DC4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1"/>
        </a:graphicData>
      </a:graphic>
    </xdr:graphicFrame>
    <xdr:clientData/>
  </xdr:twoCellAnchor>
</xdr:wsDr>
</file>

<file path=xl/drawings/drawing3.xml><?xml version="1.0" encoding="utf-8"?>
<xdr:wsDr xmlns:xdr="http://purl.oclc.org/ooxml/drawingml/spreadsheetDrawing" xmlns:a="http://purl.oclc.org/ooxml/drawingml/main">
  <xdr:twoCellAnchor>
    <xdr:from>
      <xdr:col>6</xdr:col>
      <xdr:colOff>447674</xdr:colOff>
      <xdr:row>2</xdr:row>
      <xdr:rowOff>85724</xdr:rowOff>
    </xdr:from>
    <xdr:to>
      <xdr:col>16</xdr:col>
      <xdr:colOff>361950</xdr:colOff>
      <xdr:row>23</xdr:row>
      <xdr:rowOff>57150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CED9A763-FBA4-4A21-9D37-79C5A4ADD3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1"/>
        </a:graphicData>
      </a:graphic>
    </xdr:graphicFrame>
    <xdr:clientData/>
  </xdr:twoCellAnchor>
  <xdr:twoCellAnchor editAs="oneCell">
    <xdr:from>
      <xdr:col>0</xdr:col>
      <xdr:colOff>390524</xdr:colOff>
      <xdr:row>12</xdr:row>
      <xdr:rowOff>95250</xdr:rowOff>
    </xdr:from>
    <xdr:to>
      <xdr:col>6</xdr:col>
      <xdr:colOff>9525</xdr:colOff>
      <xdr:row>23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4" name="produto">
              <a:extLst>
                <a:ext uri="{FF2B5EF4-FFF2-40B4-BE49-F238E27FC236}">
                  <a16:creationId xmlns:a16="http://schemas.microsoft.com/office/drawing/2014/main" id="{4B744302-4BDC-43BE-87A3-2A15D5BEB87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to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90524" y="2381250"/>
              <a:ext cx="3810001" cy="20288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NZ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purl.oclc.org/ooxml/drawingml/spreadsheetDrawing" xmlns:a="http://purl.oclc.org/ooxml/drawingml/main">
  <xdr:twoCellAnchor>
    <xdr:from>
      <xdr:col>4</xdr:col>
      <xdr:colOff>123824</xdr:colOff>
      <xdr:row>0</xdr:row>
      <xdr:rowOff>152399</xdr:rowOff>
    </xdr:from>
    <xdr:to>
      <xdr:col>14</xdr:col>
      <xdr:colOff>495300</xdr:colOff>
      <xdr:row>21</xdr:row>
      <xdr:rowOff>66675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AFDC91FB-7E14-426C-82A2-BC486AAE23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1"/>
        </a:graphicData>
      </a:graphic>
    </xdr:graphicFrame>
    <xdr:clientData/>
  </xdr:twoCellAnchor>
</xdr:wsDr>
</file>

<file path=xl/drawings/drawing5.xml><?xml version="1.0" encoding="utf-8"?>
<xdr:wsDr xmlns:xdr="http://purl.oclc.org/ooxml/drawingml/spreadsheetDrawing" xmlns:a="http://purl.oclc.org/ooxml/drawingml/main">
  <xdr:twoCellAnchor editAs="absolute">
    <xdr:from>
      <xdr:col>1</xdr:col>
      <xdr:colOff>114302</xdr:colOff>
      <xdr:row>6</xdr:row>
      <xdr:rowOff>104775</xdr:rowOff>
    </xdr:from>
    <xdr:to>
      <xdr:col>10</xdr:col>
      <xdr:colOff>57150</xdr:colOff>
      <xdr:row>23</xdr:row>
      <xdr:rowOff>142875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ED358DE8-E04E-4FDD-8C0B-2AC89F5A6F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1"/>
        </a:graphicData>
      </a:graphic>
    </xdr:graphicFrame>
    <xdr:clientData/>
  </xdr:twoCellAnchor>
  <xdr:twoCellAnchor editAs="absolute">
    <xdr:from>
      <xdr:col>1</xdr:col>
      <xdr:colOff>104773</xdr:colOff>
      <xdr:row>24</xdr:row>
      <xdr:rowOff>38100</xdr:rowOff>
    </xdr:from>
    <xdr:to>
      <xdr:col>12</xdr:col>
      <xdr:colOff>485775</xdr:colOff>
      <xdr:row>38</xdr:row>
      <xdr:rowOff>114300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7F5C27C7-D2CE-4EA8-9E4A-F6575BC1D9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2"/>
        </a:graphicData>
      </a:graphic>
    </xdr:graphicFrame>
    <xdr:clientData/>
  </xdr:twoCellAnchor>
  <xdr:twoCellAnchor editAs="absolute">
    <xdr:from>
      <xdr:col>10</xdr:col>
      <xdr:colOff>133349</xdr:colOff>
      <xdr:row>6</xdr:row>
      <xdr:rowOff>228600</xdr:rowOff>
    </xdr:from>
    <xdr:to>
      <xdr:col>19</xdr:col>
      <xdr:colOff>76201</xdr:colOff>
      <xdr:row>23</xdr:row>
      <xdr:rowOff>28576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BD611181-035C-42A9-AB18-A1211C3CB1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3"/>
        </a:graphicData>
      </a:graphic>
    </xdr:graphicFrame>
    <xdr:clientData/>
  </xdr:twoCellAnchor>
  <xdr:twoCellAnchor editAs="absolute">
    <xdr:from>
      <xdr:col>12</xdr:col>
      <xdr:colOff>600075</xdr:colOff>
      <xdr:row>24</xdr:row>
      <xdr:rowOff>28575</xdr:rowOff>
    </xdr:from>
    <xdr:to>
      <xdr:col>20</xdr:col>
      <xdr:colOff>295275</xdr:colOff>
      <xdr:row>38</xdr:row>
      <xdr:rowOff>104775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DDFC4567-FEBD-4818-AC21-75BE5C987A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4"/>
        </a:graphicData>
      </a:graphic>
    </xdr:graphicFrame>
    <xdr:clientData/>
  </xdr:twoCellAnchor>
  <xdr:twoCellAnchor editAs="absolute">
    <xdr:from>
      <xdr:col>12</xdr:col>
      <xdr:colOff>419099</xdr:colOff>
      <xdr:row>2</xdr:row>
      <xdr:rowOff>152400</xdr:rowOff>
    </xdr:from>
    <xdr:to>
      <xdr:col>19</xdr:col>
      <xdr:colOff>76200</xdr:colOff>
      <xdr:row>6</xdr:row>
      <xdr:rowOff>152400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10" name="estado">
              <a:extLst>
                <a:ext uri="{FF2B5EF4-FFF2-40B4-BE49-F238E27FC236}">
                  <a16:creationId xmlns:a16="http://schemas.microsoft.com/office/drawing/2014/main" id="{40B5FF4D-4DA0-4B12-8B2D-3A7EC52268B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382124" y="676275"/>
              <a:ext cx="3924301" cy="9810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NZ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19</xdr:col>
      <xdr:colOff>142875</xdr:colOff>
      <xdr:row>6</xdr:row>
      <xdr:rowOff>238126</xdr:rowOff>
    </xdr:from>
    <xdr:to>
      <xdr:col>22</xdr:col>
      <xdr:colOff>333376</xdr:colOff>
      <xdr:row>19</xdr:row>
      <xdr:rowOff>114301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11" name="Meses (data)">
              <a:extLst>
                <a:ext uri="{FF2B5EF4-FFF2-40B4-BE49-F238E27FC236}">
                  <a16:creationId xmlns:a16="http://schemas.microsoft.com/office/drawing/2014/main" id="{1563BA2A-12F5-479C-A477-2066C7EE850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es (data)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373100" y="1743076"/>
              <a:ext cx="2019301" cy="24384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NZ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17</xdr:col>
      <xdr:colOff>476250</xdr:colOff>
      <xdr:row>39</xdr:row>
      <xdr:rowOff>247650</xdr:rowOff>
    </xdr:from>
    <xdr:to>
      <xdr:col>19</xdr:col>
      <xdr:colOff>171450</xdr:colOff>
      <xdr:row>43</xdr:row>
      <xdr:rowOff>228600</xdr:rowOff>
    </xdr:to>
    <xdr:pic>
      <xdr:nvPicPr>
        <xdr:cNvPr id="13" name="Gráfico 12" descr="Gráfico de barras com tendência ascendente com preenchimento sólido">
          <a:extLst>
            <a:ext uri="{FF2B5EF4-FFF2-40B4-BE49-F238E27FC236}">
              <a16:creationId xmlns:a16="http://schemas.microsoft.com/office/drawing/2014/main" id="{EFCC2178-422C-0455-346A-240F7967059F}"/>
            </a:ext>
          </a:extLst>
        </xdr:cNvPr>
        <xdr:cNvPicPr>
          <a:picLocks noChangeAspect="1"/>
        </xdr:cNvPicPr>
      </xdr:nvPicPr>
      <xdr:blipFill>
        <a:blip xmlns:r="http://purl.oclc.org/ooxml/officeDocument/relationships" r:embed="rId5">
          <a:extLs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12487275" y="8124825"/>
          <a:ext cx="914400" cy="914400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purl.oclc.org/ooxml/officeDocument/relationships/pivotCacheRecords" Target="pivotCacheRecords1.xml"/></Relationships>
</file>

<file path=xl/pivotCache/pivotCacheDefinition1.xml><?xml version="1.0" encoding="utf-8"?>
<pivotCacheDefinition xmlns="http://purl.oclc.org/ooxml/spreadsheetml/main" xmlns:r="http://purl.oclc.org/ooxml/officeDocument/relationships" xmlns:mc="http://schemas.openxmlformats.org/markup-compatibility/2006" xmlns:xr="http://schemas.microsoft.com/office/spreadsheetml/2014/revision" mc:Ignorable="xr" r:id="rId1" refreshedBy="Felipe Reus" refreshedDateIso="2026-04-26T00:54:31.29999983590095900" createdVersion="8" refreshedVersion="8" minRefreshableVersion="3" recordCount="30" xr:uid="{FD75A2D8-6FFC-4FAD-89A3-EF1F168A910B}">
  <cacheSource type="worksheet">
    <worksheetSource name="Tabela2"/>
  </cacheSource>
  <cacheFields count="8">
    <cacheField name="id_venda" numFmtId="0">
      <sharedItems containsSemiMixedTypes="0" containsString="0" containsNumber="1" containsInteger="1" minValue="1" maxValue="30"/>
    </cacheField>
    <cacheField name="cliente" numFmtId="0">
      <sharedItems count="30">
        <s v="Joao"/>
        <s v="Maria"/>
        <s v="Felipe"/>
        <s v="Marcos"/>
        <s v="Ana"/>
        <s v="Carlos"/>
        <s v="Melissa"/>
        <s v="Carolina"/>
        <s v="Pamela"/>
        <s v="Thamires"/>
        <s v="Claudio"/>
        <s v="Alexandre"/>
        <s v="Fernando"/>
        <s v="Marcela"/>
        <s v="Marcelle"/>
        <s v="Philipe"/>
        <s v="Wallace"/>
        <s v="Otavio"/>
        <s v="Kleiton"/>
        <s v="Elaine"/>
        <s v="Alice"/>
        <s v="Bruna"/>
        <s v="Emerson"/>
        <s v="Arthur"/>
        <s v="Mayara"/>
        <s v="Raquel"/>
        <s v="Vandro"/>
        <s v="Anderson"/>
        <s v="Lais"/>
        <s v="Luana"/>
      </sharedItems>
    </cacheField>
    <cacheField name="data" numFmtId="14">
      <sharedItems containsSemiMixedTypes="0" containsNonDate="0" containsDate="1" containsString="0" minDate="2024-01-10T00:00:00" maxDate="2024-12-11T00:00:00" count="30">
        <d v="2024-01-10T00:00:00"/>
        <d v="2024-01-12T00:00:00"/>
        <d v="2024-02-27T00:00:00"/>
        <d v="2024-02-10T00:00:00"/>
        <d v="2024-03-23T00:00:00"/>
        <d v="2024-04-15T00:00:00"/>
        <d v="2024-05-13T00:00:00"/>
        <d v="2024-06-10T00:00:00"/>
        <d v="2024-12-10T00:00:00"/>
        <d v="2024-11-10T00:00:00"/>
        <d v="2024-02-16T00:00:00"/>
        <d v="2024-07-13T00:00:00"/>
        <d v="2024-08-16T00:00:00"/>
        <d v="2024-03-11T00:00:00"/>
        <d v="2024-05-10T00:00:00"/>
        <d v="2024-09-21T00:00:00"/>
        <d v="2024-06-23T00:00:00"/>
        <d v="2024-06-17T00:00:00"/>
        <d v="2024-10-10T00:00:00"/>
        <d v="2024-01-26T00:00:00"/>
        <d v="2024-05-12T00:00:00"/>
        <d v="2024-07-11T00:00:00"/>
        <d v="2024-09-10T00:00:00"/>
        <d v="2024-02-12T00:00:00"/>
        <d v="2024-02-21T00:00:00"/>
        <d v="2024-08-29T00:00:00"/>
        <d v="2024-11-30T00:00:00"/>
        <d v="2024-04-25T00:00:00"/>
        <d v="2024-03-28T00:00:00"/>
        <d v="2024-09-11T00:00:00"/>
      </sharedItems>
      <fieldGroup par="7"/>
    </cacheField>
    <cacheField name="valor" numFmtId="169">
      <sharedItems containsSemiMixedTypes="0" containsString="0" containsNumber="1" containsInteger="1" minValue="100" maxValue="2200" count="21">
        <n v="100"/>
        <n v="200"/>
        <n v="150"/>
        <n v="300"/>
        <n v="250"/>
        <n v="120"/>
        <n v="900"/>
        <n v="1300"/>
        <n v="800"/>
        <n v="450"/>
        <n v="320"/>
        <n v="520"/>
        <n v="2000"/>
        <n v="2200"/>
        <n v="1800"/>
        <n v="1000"/>
        <n v="125"/>
        <n v="340"/>
        <n v="550"/>
        <n v="700"/>
        <n v="950"/>
      </sharedItems>
    </cacheField>
    <cacheField name="produto" numFmtId="0">
      <sharedItems count="10">
        <s v="Mouse"/>
        <s v="Teclado"/>
        <s v="Headset"/>
        <s v="Monitor"/>
        <s v="MousePad"/>
        <s v="Processador"/>
        <s v="Placa de Video"/>
        <s v="PlacaMae"/>
        <s v="Headphone"/>
        <s v="MemoriaRam"/>
      </sharedItems>
    </cacheField>
    <cacheField name="estado" numFmtId="0">
      <sharedItems count="7">
        <s v="SP"/>
        <s v="RJ"/>
        <s v="MG"/>
        <s v="ES"/>
        <s v="DF"/>
        <s v="BA"/>
        <s v="MA"/>
      </sharedItems>
    </cacheField>
    <cacheField name="Dias (data)" numFmtId="0" databaseField="0">
      <fieldGroup base="2">
        <rangePr groupBy="days" startDate="2024-01-10T00:00:00" endDate="2024-12-11T00:00:00"/>
        <groupItems count="368">
          <s v="&lt;10/01/2024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t"/>
          <s v="2-Sept"/>
          <s v="3-Sept"/>
          <s v="4-Sept"/>
          <s v="5-Sept"/>
          <s v="6-Sept"/>
          <s v="7-Sept"/>
          <s v="8-Sept"/>
          <s v="9-Sept"/>
          <s v="10-Sept"/>
          <s v="11-Sept"/>
          <s v="12-Sept"/>
          <s v="13-Sept"/>
          <s v="14-Sept"/>
          <s v="15-Sept"/>
          <s v="16-Sept"/>
          <s v="17-Sept"/>
          <s v="18-Sept"/>
          <s v="19-Sept"/>
          <s v="20-Sept"/>
          <s v="21-Sept"/>
          <s v="22-Sept"/>
          <s v="23-Sept"/>
          <s v="24-Sept"/>
          <s v="25-Sept"/>
          <s v="26-Sept"/>
          <s v="27-Sept"/>
          <s v="28-Sept"/>
          <s v="29-Sept"/>
          <s v="30-Sept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11/12/2024"/>
        </groupItems>
      </fieldGroup>
    </cacheField>
    <cacheField name="Meses (data)" numFmtId="0" databaseField="0">
      <fieldGroup base="2">
        <rangePr groupBy="months" startDate="2024-01-10T00:00:00" endDate="2024-12-11T00:00:00"/>
        <groupItems count="14">
          <s v="&lt;10/01/2024"/>
          <s v="Jan"/>
          <s v="Feb"/>
          <s v="Mar"/>
          <s v="Apr"/>
          <s v="May"/>
          <s v="Jun"/>
          <s v="Jul"/>
          <s v="Aug"/>
          <s v="Sept"/>
          <s v="Oct"/>
          <s v="Nov"/>
          <s v="Dec"/>
          <s v="&gt;11/12/2024"/>
        </groupItems>
      </fieldGroup>
    </cacheField>
  </cacheFields>
  <extLst>
    <ext xmlns:x14="http://schemas.microsoft.com/office/spreadsheetml/2009/9/main" uri="{725AE2AE-9491-48be-B2B4-4EB974FC3084}">
      <x14:pivotCacheDefinition pivotCacheId="819845626"/>
    </ext>
  </extLst>
</pivotCacheDefinition>
</file>

<file path=xl/pivotCache/pivotCacheRecords1.xml><?xml version="1.0" encoding="utf-8"?>
<pivotCacheRecords xmlns="http://purl.oclc.org/ooxml/spreadsheetml/main" xmlns:r="http://purl.oclc.org/ooxml/officeDocument/relationships" xmlns:mc="http://schemas.openxmlformats.org/markup-compatibility/2006" xmlns:xr="http://schemas.microsoft.com/office/spreadsheetml/2014/revision" mc:Ignorable="xr" count="30">
  <r>
    <n v="1"/>
    <x v="0"/>
    <x v="0"/>
    <x v="0"/>
    <x v="0"/>
    <x v="0"/>
  </r>
  <r>
    <n v="2"/>
    <x v="1"/>
    <x v="1"/>
    <x v="1"/>
    <x v="1"/>
    <x v="1"/>
  </r>
  <r>
    <n v="3"/>
    <x v="2"/>
    <x v="2"/>
    <x v="2"/>
    <x v="2"/>
    <x v="2"/>
  </r>
  <r>
    <n v="4"/>
    <x v="3"/>
    <x v="3"/>
    <x v="3"/>
    <x v="3"/>
    <x v="3"/>
  </r>
  <r>
    <n v="5"/>
    <x v="4"/>
    <x v="4"/>
    <x v="4"/>
    <x v="0"/>
    <x v="0"/>
  </r>
  <r>
    <n v="6"/>
    <x v="5"/>
    <x v="5"/>
    <x v="5"/>
    <x v="4"/>
    <x v="4"/>
  </r>
  <r>
    <n v="7"/>
    <x v="6"/>
    <x v="6"/>
    <x v="2"/>
    <x v="1"/>
    <x v="1"/>
  </r>
  <r>
    <n v="8"/>
    <x v="7"/>
    <x v="7"/>
    <x v="1"/>
    <x v="1"/>
    <x v="0"/>
  </r>
  <r>
    <n v="9"/>
    <x v="8"/>
    <x v="8"/>
    <x v="3"/>
    <x v="3"/>
    <x v="3"/>
  </r>
  <r>
    <n v="10"/>
    <x v="9"/>
    <x v="9"/>
    <x v="6"/>
    <x v="5"/>
    <x v="4"/>
  </r>
  <r>
    <n v="11"/>
    <x v="10"/>
    <x v="10"/>
    <x v="7"/>
    <x v="6"/>
    <x v="5"/>
  </r>
  <r>
    <n v="12"/>
    <x v="11"/>
    <x v="11"/>
    <x v="8"/>
    <x v="7"/>
    <x v="2"/>
  </r>
  <r>
    <n v="13"/>
    <x v="12"/>
    <x v="12"/>
    <x v="4"/>
    <x v="2"/>
    <x v="4"/>
  </r>
  <r>
    <n v="14"/>
    <x v="13"/>
    <x v="13"/>
    <x v="2"/>
    <x v="8"/>
    <x v="0"/>
  </r>
  <r>
    <n v="15"/>
    <x v="14"/>
    <x v="14"/>
    <x v="9"/>
    <x v="2"/>
    <x v="3"/>
  </r>
  <r>
    <n v="16"/>
    <x v="15"/>
    <x v="15"/>
    <x v="10"/>
    <x v="1"/>
    <x v="1"/>
  </r>
  <r>
    <n v="17"/>
    <x v="16"/>
    <x v="16"/>
    <x v="9"/>
    <x v="8"/>
    <x v="2"/>
  </r>
  <r>
    <n v="18"/>
    <x v="17"/>
    <x v="17"/>
    <x v="11"/>
    <x v="1"/>
    <x v="1"/>
  </r>
  <r>
    <n v="19"/>
    <x v="18"/>
    <x v="18"/>
    <x v="12"/>
    <x v="6"/>
    <x v="0"/>
  </r>
  <r>
    <n v="20"/>
    <x v="19"/>
    <x v="19"/>
    <x v="13"/>
    <x v="5"/>
    <x v="3"/>
  </r>
  <r>
    <n v="21"/>
    <x v="20"/>
    <x v="20"/>
    <x v="14"/>
    <x v="7"/>
    <x v="4"/>
  </r>
  <r>
    <n v="22"/>
    <x v="21"/>
    <x v="21"/>
    <x v="15"/>
    <x v="9"/>
    <x v="5"/>
  </r>
  <r>
    <n v="23"/>
    <x v="22"/>
    <x v="22"/>
    <x v="3"/>
    <x v="0"/>
    <x v="5"/>
  </r>
  <r>
    <n v="24"/>
    <x v="23"/>
    <x v="23"/>
    <x v="16"/>
    <x v="8"/>
    <x v="4"/>
  </r>
  <r>
    <n v="25"/>
    <x v="24"/>
    <x v="24"/>
    <x v="17"/>
    <x v="1"/>
    <x v="2"/>
  </r>
  <r>
    <n v="26"/>
    <x v="25"/>
    <x v="25"/>
    <x v="9"/>
    <x v="1"/>
    <x v="6"/>
  </r>
  <r>
    <n v="27"/>
    <x v="26"/>
    <x v="26"/>
    <x v="18"/>
    <x v="0"/>
    <x v="3"/>
  </r>
  <r>
    <n v="28"/>
    <x v="27"/>
    <x v="27"/>
    <x v="19"/>
    <x v="5"/>
    <x v="6"/>
  </r>
  <r>
    <n v="29"/>
    <x v="28"/>
    <x v="28"/>
    <x v="20"/>
    <x v="7"/>
    <x v="3"/>
  </r>
  <r>
    <n v="30"/>
    <x v="29"/>
    <x v="29"/>
    <x v="5"/>
    <x v="0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purl.oclc.org/ooxml/officeDocument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purl.oclc.org/ooxml/officeDocument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purl.oclc.org/ooxml/officeDocument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purl.oclc.org/ooxml/officeDocument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purl.oclc.org/ooxml/officeDocument/relationships/pivotCacheDefinition" Target="../pivotCache/pivotCacheDefinition1.xml"/></Relationships>
</file>

<file path=xl/pivotTables/pivotTable1.xml><?xml version="1.0" encoding="utf-8"?>
<pivotTableDefinition xmlns="http://purl.oclc.org/ooxml/spreadsheetml/main" xmlns:mc="http://schemas.openxmlformats.org/markup-compatibility/2006" xmlns:xr="http://schemas.microsoft.com/office/spreadsheetml/2014/revision" mc:Ignorable="xr" xr:uid="{B1A38768-6731-4CE5-BE79-BB0F82175667}" name="Tabela dinâmica9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9">
  <location ref="P3:P4" firstHeaderRow="1" firstDataRow="1" firstDataCol="0"/>
  <pivotFields count="8">
    <pivotField showAll="0"/>
    <pivotField showAll="0">
      <items count="31">
        <item x="11"/>
        <item x="20"/>
        <item x="4"/>
        <item x="27"/>
        <item x="23"/>
        <item x="21"/>
        <item x="5"/>
        <item x="7"/>
        <item x="10"/>
        <item x="19"/>
        <item x="22"/>
        <item x="2"/>
        <item x="12"/>
        <item x="0"/>
        <item x="18"/>
        <item x="28"/>
        <item x="29"/>
        <item x="13"/>
        <item x="14"/>
        <item x="3"/>
        <item x="1"/>
        <item x="24"/>
        <item x="6"/>
        <item x="17"/>
        <item x="8"/>
        <item x="15"/>
        <item x="25"/>
        <item x="9"/>
        <item x="26"/>
        <item x="16"/>
        <item t="default"/>
      </items>
    </pivotField>
    <pivotField numFmtId="14" showAll="0">
      <items count="31">
        <item x="0"/>
        <item x="1"/>
        <item x="19"/>
        <item x="3"/>
        <item x="23"/>
        <item x="10"/>
        <item x="24"/>
        <item x="2"/>
        <item x="13"/>
        <item x="4"/>
        <item x="28"/>
        <item x="5"/>
        <item x="27"/>
        <item x="14"/>
        <item x="20"/>
        <item x="6"/>
        <item x="7"/>
        <item x="17"/>
        <item x="16"/>
        <item x="21"/>
        <item x="11"/>
        <item x="12"/>
        <item x="25"/>
        <item x="22"/>
        <item x="29"/>
        <item x="15"/>
        <item x="18"/>
        <item x="9"/>
        <item x="26"/>
        <item x="8"/>
        <item t="default"/>
      </items>
    </pivotField>
    <pivotField dataField="1" numFmtId="169" showAll="0">
      <items count="22">
        <item x="0"/>
        <item x="5"/>
        <item x="16"/>
        <item x="2"/>
        <item x="1"/>
        <item x="4"/>
        <item x="3"/>
        <item x="10"/>
        <item x="17"/>
        <item x="9"/>
        <item x="11"/>
        <item x="18"/>
        <item x="19"/>
        <item x="8"/>
        <item x="6"/>
        <item x="20"/>
        <item x="15"/>
        <item x="7"/>
        <item x="14"/>
        <item x="12"/>
        <item x="13"/>
        <item t="default"/>
      </items>
    </pivotField>
    <pivotField showAll="0">
      <items count="11">
        <item x="8"/>
        <item x="2"/>
        <item x="9"/>
        <item x="3"/>
        <item x="0"/>
        <item x="4"/>
        <item x="6"/>
        <item x="7"/>
        <item x="5"/>
        <item x="1"/>
        <item t="default"/>
      </items>
    </pivotField>
    <pivotField showAll="0">
      <items count="8">
        <item x="5"/>
        <item x="4"/>
        <item x="3"/>
        <item x="6"/>
        <item x="2"/>
        <item x="1"/>
        <item x="0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Items count="1">
    <i/>
  </rowItems>
  <colItems count="1">
    <i/>
  </colItems>
  <dataFields count="1">
    <dataField name="Soma de valor" fld="3" baseField="0" baseItem="0"/>
  </dataFields>
  <formats count="2">
    <format dxfId="0">
      <pivotArea outline="0" collapsedLevelsAreSubtotals="1" fieldPosition="0"/>
    </format>
    <format dxfId="1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purl.oclc.org/ooxml/spreadsheetml/main" xmlns:mc="http://schemas.openxmlformats.org/markup-compatibility/2006" xmlns:xr="http://schemas.microsoft.com/office/spreadsheetml/2014/revision" mc:Ignorable="xr" xr:uid="{117D9760-C13B-45AA-B98A-01D37F79C6F5}" name="Tabela dinâmica8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1">
  <location ref="M3:N9" firstHeaderRow="1" firstDataRow="1" firstDataCol="1"/>
  <pivotFields count="8">
    <pivotField showAll="0"/>
    <pivotField showAll="0">
      <items count="31">
        <item x="11"/>
        <item x="20"/>
        <item x="4"/>
        <item x="27"/>
        <item x="23"/>
        <item x="21"/>
        <item x="5"/>
        <item x="7"/>
        <item x="10"/>
        <item x="19"/>
        <item x="22"/>
        <item x="2"/>
        <item x="12"/>
        <item x="0"/>
        <item x="18"/>
        <item x="28"/>
        <item x="29"/>
        <item x="13"/>
        <item x="14"/>
        <item x="3"/>
        <item x="1"/>
        <item x="24"/>
        <item x="6"/>
        <item x="17"/>
        <item x="8"/>
        <item x="15"/>
        <item x="25"/>
        <item x="9"/>
        <item x="26"/>
        <item x="16"/>
        <item t="default"/>
      </items>
    </pivotField>
    <pivotField numFmtId="14" showAll="0">
      <items count="31">
        <item x="0"/>
        <item x="1"/>
        <item x="19"/>
        <item x="3"/>
        <item x="23"/>
        <item x="10"/>
        <item x="24"/>
        <item x="2"/>
        <item x="13"/>
        <item x="4"/>
        <item x="28"/>
        <item x="5"/>
        <item x="27"/>
        <item x="14"/>
        <item x="20"/>
        <item x="6"/>
        <item x="7"/>
        <item x="17"/>
        <item x="16"/>
        <item x="21"/>
        <item x="11"/>
        <item x="12"/>
        <item x="25"/>
        <item x="22"/>
        <item x="29"/>
        <item x="15"/>
        <item x="18"/>
        <item x="9"/>
        <item x="26"/>
        <item x="8"/>
        <item t="default"/>
      </items>
    </pivotField>
    <pivotField dataField="1" numFmtId="169" showAll="0"/>
    <pivotField axis="axisRow" showAll="0" measureFilter="1">
      <items count="11">
        <item x="8"/>
        <item x="2"/>
        <item x="9"/>
        <item x="3"/>
        <item x="0"/>
        <item x="4"/>
        <item x="6"/>
        <item x="7"/>
        <item x="5"/>
        <item x="1"/>
        <item t="default"/>
      </items>
    </pivotField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4"/>
  </rowFields>
  <rowItems count="6">
    <i>
      <x v="4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Soma de valor" fld="3" baseField="0" baseItem="0" numFmtId="169"/>
  </dataFields>
  <formats count="1">
    <format dxfId="2">
      <pivotArea outline="0" collapsedLevelsAreSubtotals="1" fieldPosition="0"/>
    </format>
  </formats>
  <chartFormats count="7">
    <chartFormat chart="3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7" format="3">
      <pivotArea type="data" outline="0" fieldPosition="0">
        <references count="2">
          <reference field="4294967294" count="1" selected="0">
            <x v="0"/>
          </reference>
          <reference field="4" count="1" selected="0">
            <x v="9"/>
          </reference>
        </references>
      </pivotArea>
    </chartFormat>
    <chartFormat chart="47" format="4">
      <pivotArea type="data" outline="0" fieldPosition="0">
        <references count="2">
          <reference field="4294967294" count="1" selected="0">
            <x v="0"/>
          </reference>
          <reference field="4" count="1" selected="0">
            <x v="8"/>
          </reference>
        </references>
      </pivotArea>
    </chartFormat>
    <chartFormat chart="47" format="5">
      <pivotArea type="data" outline="0" fieldPosition="0">
        <references count="2">
          <reference field="4294967294" count="1" selected="0">
            <x v="0"/>
          </reference>
          <reference field="4" count="1" selected="0">
            <x v="7"/>
          </reference>
        </references>
      </pivotArea>
    </chartFormat>
    <chartFormat chart="47" format="6">
      <pivotArea type="data" outline="0" fieldPosition="0">
        <references count="2">
          <reference field="4294967294" count="1" selected="0">
            <x v="0"/>
          </reference>
          <reference field="4" count="1" selected="0">
            <x v="6"/>
          </reference>
        </references>
      </pivotArea>
    </chartFormat>
    <chartFormat chart="47" format="7">
      <pivotArea type="data" outline="0" fieldPosition="0">
        <references count="2">
          <reference field="4294967294" count="1" selected="0">
            <x v="0"/>
          </reference>
          <reference field="4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4" type="count" evalOrder="-1" id="1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purl.oclc.org/ooxml/spreadsheetml/main" xmlns:mc="http://schemas.openxmlformats.org/markup-compatibility/2006" xmlns:xr="http://schemas.microsoft.com/office/spreadsheetml/2014/revision" mc:Ignorable="xr" xr:uid="{B49FD998-D494-4E96-85E2-BFBE4A64AB70}" name="Tabela dinâmica7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2">
  <location ref="H3:I11" firstHeaderRow="1" firstDataRow="1" firstDataCol="1"/>
  <pivotFields count="8">
    <pivotField showAll="0"/>
    <pivotField showAll="0">
      <items count="31">
        <item x="11"/>
        <item x="20"/>
        <item x="4"/>
        <item x="27"/>
        <item x="23"/>
        <item x="21"/>
        <item x="5"/>
        <item x="7"/>
        <item x="10"/>
        <item x="19"/>
        <item x="22"/>
        <item x="2"/>
        <item x="12"/>
        <item x="0"/>
        <item x="18"/>
        <item x="28"/>
        <item x="29"/>
        <item x="13"/>
        <item x="14"/>
        <item x="3"/>
        <item x="1"/>
        <item x="24"/>
        <item x="6"/>
        <item x="17"/>
        <item x="8"/>
        <item x="15"/>
        <item x="25"/>
        <item x="9"/>
        <item x="26"/>
        <item x="16"/>
        <item t="default"/>
      </items>
    </pivotField>
    <pivotField numFmtId="14" showAll="0">
      <items count="31">
        <item x="0"/>
        <item x="1"/>
        <item x="19"/>
        <item x="3"/>
        <item x="23"/>
        <item x="10"/>
        <item x="24"/>
        <item x="2"/>
        <item x="13"/>
        <item x="4"/>
        <item x="28"/>
        <item x="5"/>
        <item x="27"/>
        <item x="14"/>
        <item x="20"/>
        <item x="6"/>
        <item x="7"/>
        <item x="17"/>
        <item x="16"/>
        <item x="21"/>
        <item x="11"/>
        <item x="12"/>
        <item x="25"/>
        <item x="22"/>
        <item x="29"/>
        <item x="15"/>
        <item x="18"/>
        <item x="9"/>
        <item x="26"/>
        <item x="8"/>
        <item t="default"/>
      </items>
    </pivotField>
    <pivotField dataField="1" numFmtId="169" showAll="0"/>
    <pivotField showAll="0"/>
    <pivotField axis="axisRow" showAll="0">
      <items count="8">
        <item x="5"/>
        <item x="4"/>
        <item x="3"/>
        <item x="6"/>
        <item x="2"/>
        <item x="1"/>
        <item x="0"/>
        <item t="default"/>
      </items>
    </pivotField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5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oma de valor" fld="3" baseField="0" baseItem="0" numFmtId="169"/>
  </dataFields>
  <formats count="2">
    <format dxfId="3">
      <pivotArea outline="0" collapsedLevelsAreSubtotals="1" fieldPosition="0"/>
    </format>
    <format dxfId="4">
      <pivotArea dataOnly="0" labelOnly="1" outline="0" axis="axisValues" fieldPosition="0"/>
    </format>
  </formats>
  <chartFormats count="16">
    <chartFormat chart="8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10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8" format="11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8" format="12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8" format="13">
      <pivotArea type="data" outline="0" fieldPosition="0">
        <references count="2">
          <reference field="4294967294" count="1" selected="0">
            <x v="0"/>
          </reference>
          <reference field="5" count="1" selected="0">
            <x v="3"/>
          </reference>
        </references>
      </pivotArea>
    </chartFormat>
    <chartFormat chart="8" format="14">
      <pivotArea type="data" outline="0" fieldPosition="0">
        <references count="2">
          <reference field="4294967294" count="1" selected="0">
            <x v="0"/>
          </reference>
          <reference field="5" count="1" selected="0">
            <x v="4"/>
          </reference>
        </references>
      </pivotArea>
    </chartFormat>
    <chartFormat chart="8" format="15">
      <pivotArea type="data" outline="0" fieldPosition="0">
        <references count="2">
          <reference field="4294967294" count="1" selected="0">
            <x v="0"/>
          </reference>
          <reference field="5" count="1" selected="0">
            <x v="5"/>
          </reference>
        </references>
      </pivotArea>
    </chartFormat>
    <chartFormat chart="8" format="16">
      <pivotArea type="data" outline="0" fieldPosition="0">
        <references count="2">
          <reference field="4294967294" count="1" selected="0">
            <x v="0"/>
          </reference>
          <reference field="5" count="1" selected="0">
            <x v="6"/>
          </reference>
        </references>
      </pivotArea>
    </chartFormat>
    <chartFormat chart="23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8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23" format="9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23" format="10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23" format="11">
      <pivotArea type="data" outline="0" fieldPosition="0">
        <references count="2">
          <reference field="4294967294" count="1" selected="0">
            <x v="0"/>
          </reference>
          <reference field="5" count="1" selected="0">
            <x v="4"/>
          </reference>
        </references>
      </pivotArea>
    </chartFormat>
    <chartFormat chart="23" format="12">
      <pivotArea type="data" outline="0" fieldPosition="0">
        <references count="2">
          <reference field="4294967294" count="1" selected="0">
            <x v="0"/>
          </reference>
          <reference field="5" count="1" selected="0">
            <x v="6"/>
          </reference>
        </references>
      </pivotArea>
    </chartFormat>
    <chartFormat chart="23" format="13">
      <pivotArea type="data" outline="0" fieldPosition="0">
        <references count="2">
          <reference field="4294967294" count="1" selected="0">
            <x v="0"/>
          </reference>
          <reference field="5" count="1" selected="0">
            <x v="3"/>
          </reference>
        </references>
      </pivotArea>
    </chartFormat>
    <chartFormat chart="23" format="14">
      <pivotArea type="data" outline="0" fieldPosition="0">
        <references count="2">
          <reference field="4294967294" count="1" selected="0">
            <x v="0"/>
          </reference>
          <reference field="5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purl.oclc.org/ooxml/spreadsheetml/main" xmlns:mc="http://schemas.openxmlformats.org/markup-compatibility/2006" xmlns:xr="http://schemas.microsoft.com/office/spreadsheetml/2014/revision" mc:Ignorable="xr" xr:uid="{F6986B65-F2E5-4868-99F1-E14CE70485D7}" name="Tabela dinâmica6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9">
  <location ref="E3:F16" firstHeaderRow="1" firstDataRow="1" firstDataCol="1"/>
  <pivotFields count="8">
    <pivotField showAll="0"/>
    <pivotField showAll="0">
      <items count="31">
        <item x="11"/>
        <item x="20"/>
        <item x="4"/>
        <item x="27"/>
        <item x="23"/>
        <item x="21"/>
        <item x="5"/>
        <item x="7"/>
        <item x="10"/>
        <item x="19"/>
        <item x="22"/>
        <item x="2"/>
        <item x="12"/>
        <item x="0"/>
        <item x="18"/>
        <item x="28"/>
        <item x="29"/>
        <item x="13"/>
        <item x="14"/>
        <item x="3"/>
        <item x="1"/>
        <item x="24"/>
        <item x="6"/>
        <item x="17"/>
        <item x="8"/>
        <item x="15"/>
        <item x="25"/>
        <item x="9"/>
        <item x="26"/>
        <item x="16"/>
        <item t="default"/>
      </items>
    </pivotField>
    <pivotField axis="axisRow" numFmtId="14" showAll="0">
      <items count="31">
        <item x="0"/>
        <item x="1"/>
        <item x="19"/>
        <item x="3"/>
        <item x="23"/>
        <item x="10"/>
        <item x="24"/>
        <item x="2"/>
        <item x="13"/>
        <item x="4"/>
        <item x="28"/>
        <item x="5"/>
        <item x="27"/>
        <item x="14"/>
        <item x="20"/>
        <item x="6"/>
        <item x="7"/>
        <item x="17"/>
        <item x="16"/>
        <item x="21"/>
        <item x="11"/>
        <item x="12"/>
        <item x="25"/>
        <item x="22"/>
        <item x="29"/>
        <item x="15"/>
        <item x="18"/>
        <item x="9"/>
        <item x="26"/>
        <item x="8"/>
        <item t="default"/>
      </items>
    </pivotField>
    <pivotField dataField="1" numFmtId="169" showAll="0"/>
    <pivotField showAll="0">
      <items count="11">
        <item x="8"/>
        <item x="2"/>
        <item x="9"/>
        <item x="3"/>
        <item x="0"/>
        <item x="4"/>
        <item x="6"/>
        <item x="7"/>
        <item x="5"/>
        <item x="1"/>
        <item t="default"/>
      </items>
    </pivotField>
    <pivotField showAll="0">
      <items count="8">
        <item x="5"/>
        <item x="4"/>
        <item x="3"/>
        <item x="6"/>
        <item x="2"/>
        <item x="1"/>
        <item x="0"/>
        <item t="default"/>
      </items>
    </pivotField>
    <pivotField axis="axisRow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3">
    <field x="7"/>
    <field x="6"/>
    <field x="2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Soma de valor" fld="3" baseField="0" baseItem="0" numFmtId="169"/>
  </dataFields>
  <formats count="2">
    <format dxfId="5">
      <pivotArea outline="0" collapsedLevelsAreSubtotals="1" fieldPosition="0"/>
    </format>
    <format dxfId="6">
      <pivotArea dataOnly="0" labelOnly="1" outline="0" axis="axisValues" fieldPosition="0"/>
    </format>
  </formats>
  <chartFormats count="2">
    <chartFormat chart="2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8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purl.oclc.org/ooxml/spreadsheetml/main" xmlns:mc="http://schemas.openxmlformats.org/markup-compatibility/2006" xmlns:xr="http://schemas.microsoft.com/office/spreadsheetml/2014/revision" mc:Ignorable="xr" xr:uid="{802B3717-AA7C-4AA7-A66B-973F82268854}" name="Tabela dinâmica5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9">
  <location ref="A3:B9" firstHeaderRow="1" firstDataRow="1" firstDataCol="1"/>
  <pivotFields count="8">
    <pivotField showAll="0"/>
    <pivotField axis="axisRow" showAll="0" measureFilter="1">
      <items count="31">
        <item x="11"/>
        <item x="20"/>
        <item x="4"/>
        <item x="27"/>
        <item x="23"/>
        <item x="21"/>
        <item x="5"/>
        <item x="7"/>
        <item x="10"/>
        <item x="19"/>
        <item x="22"/>
        <item x="2"/>
        <item x="12"/>
        <item x="0"/>
        <item x="18"/>
        <item x="28"/>
        <item x="29"/>
        <item x="13"/>
        <item x="14"/>
        <item x="3"/>
        <item x="1"/>
        <item x="24"/>
        <item x="6"/>
        <item x="17"/>
        <item x="8"/>
        <item x="15"/>
        <item x="25"/>
        <item x="9"/>
        <item x="26"/>
        <item x="16"/>
        <item t="default"/>
      </items>
    </pivotField>
    <pivotField numFmtId="14" showAll="0">
      <items count="31">
        <item x="0"/>
        <item x="1"/>
        <item x="19"/>
        <item x="3"/>
        <item x="23"/>
        <item x="10"/>
        <item x="24"/>
        <item x="2"/>
        <item x="13"/>
        <item x="4"/>
        <item x="28"/>
        <item x="5"/>
        <item x="27"/>
        <item x="14"/>
        <item x="20"/>
        <item x="6"/>
        <item x="7"/>
        <item x="17"/>
        <item x="16"/>
        <item x="21"/>
        <item x="11"/>
        <item x="12"/>
        <item x="25"/>
        <item x="22"/>
        <item x="29"/>
        <item x="15"/>
        <item x="18"/>
        <item x="9"/>
        <item x="26"/>
        <item x="8"/>
        <item t="default"/>
      </items>
    </pivotField>
    <pivotField dataField="1" numFmtId="169" showAll="0"/>
    <pivotField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"/>
  </rowFields>
  <rowItems count="6">
    <i>
      <x v="1"/>
    </i>
    <i>
      <x v="5"/>
    </i>
    <i>
      <x v="8"/>
    </i>
    <i>
      <x v="9"/>
    </i>
    <i>
      <x v="14"/>
    </i>
    <i t="grand">
      <x/>
    </i>
  </rowItems>
  <colItems count="1">
    <i/>
  </colItems>
  <dataFields count="1">
    <dataField name="Soma de valor" fld="3" baseField="0" baseItem="0" numFmtId="169"/>
  </dataFields>
  <formats count="2">
    <format dxfId="7">
      <pivotArea outline="0" collapsedLevelsAreSubtotals="1" fieldPosition="0"/>
    </format>
    <format dxfId="8">
      <pivotArea dataOnly="0" labelOnly="1" outline="0" axis="axisValues" fieldPosition="0"/>
    </format>
  </formats>
  <chartFormats count="2"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count" evalOrder="-1" id="4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purl.oclc.org/ooxml/spreadsheetml/main" xmlns:xr10="http://schemas.microsoft.com/office/spreadsheetml/2016/revision10" mc:Ignorable="x xr10" name="SegmentaçãodeDados_cliente" xr10:uid="{89479AC8-BACC-4CE8-845D-ED1240BE3264}" sourceName="cliente">
  <pivotTables>
    <pivotTable tabId="14" name="Tabela dinâmica5"/>
    <pivotTable tabId="14" name="Tabela dinâmica6"/>
    <pivotTable tabId="14" name="Tabela dinâmica7"/>
    <pivotTable tabId="14" name="Tabela dinâmica8"/>
    <pivotTable tabId="14" name="Tabela dinâmica9"/>
  </pivotTables>
  <data>
    <tabular pivotCacheId="819845626">
      <items count="30">
        <i x="11" s="1"/>
        <i x="20" s="1"/>
        <i x="4" s="1"/>
        <i x="27" s="1"/>
        <i x="23" s="1"/>
        <i x="21" s="1"/>
        <i x="5" s="1"/>
        <i x="7" s="1"/>
        <i x="10" s="1"/>
        <i x="19" s="1"/>
        <i x="22" s="1"/>
        <i x="2" s="1"/>
        <i x="12" s="1"/>
        <i x="0" s="1"/>
        <i x="18" s="1"/>
        <i x="28" s="1"/>
        <i x="29" s="1"/>
        <i x="13" s="1"/>
        <i x="14" s="1"/>
        <i x="3" s="1"/>
        <i x="1" s="1"/>
        <i x="24" s="1"/>
        <i x="6" s="1"/>
        <i x="17" s="1"/>
        <i x="8" s="1"/>
        <i x="15" s="1"/>
        <i x="25" s="1"/>
        <i x="9" s="1"/>
        <i x="26" s="1"/>
        <i x="16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purl.oclc.org/ooxml/spreadsheetml/main" xmlns:xr10="http://schemas.microsoft.com/office/spreadsheetml/2016/revision10" mc:Ignorable="x xr10" name="SegmentaçãodeDados_produto" xr10:uid="{7A4A652F-BE41-4265-964C-274662AF84A6}" sourceName="produto">
  <pivotTables>
    <pivotTable tabId="14" name="Tabela dinâmica8"/>
    <pivotTable tabId="14" name="Tabela dinâmica6"/>
    <pivotTable tabId="14" name="Tabela dinâmica9"/>
  </pivotTables>
  <data>
    <tabular pivotCacheId="819845626">
      <items count="10">
        <i x="8" s="1"/>
        <i x="2" s="1"/>
        <i x="9" s="1"/>
        <i x="3" s="1"/>
        <i x="0" s="1"/>
        <i x="4" s="1"/>
        <i x="6" s="1"/>
        <i x="7" s="1"/>
        <i x="5" s="1"/>
        <i x="1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purl.oclc.org/ooxml/spreadsheetml/main" xmlns:xr10="http://schemas.microsoft.com/office/spreadsheetml/2016/revision10" mc:Ignorable="x xr10" name="SegmentaçãodeDados_estado" xr10:uid="{7F747116-59D1-40E2-AC38-C3A63D9ECDAD}" sourceName="estado">
  <pivotTables>
    <pivotTable tabId="14" name="Tabela dinâmica7"/>
    <pivotTable tabId="14" name="Tabela dinâmica6"/>
    <pivotTable tabId="14" name="Tabela dinâmica9"/>
  </pivotTables>
  <data>
    <tabular pivotCacheId="819845626">
      <items count="7">
        <i x="5" s="1"/>
        <i x="4" s="1"/>
        <i x="3" s="1"/>
        <i x="6" s="1"/>
        <i x="2" s="1"/>
        <i x="1" s="1"/>
        <i x="0" s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purl.oclc.org/ooxml/spreadsheetml/main" xmlns:xr10="http://schemas.microsoft.com/office/spreadsheetml/2016/revision10" mc:Ignorable="x xr10" name="SegmentaçãodeDados_Meses__data" xr10:uid="{A7A772C1-B566-4C8E-8D4D-57058D93C566}" sourceName="Meses (data)">
  <pivotTables>
    <pivotTable tabId="14" name="Tabela dinâmica6"/>
    <pivotTable tabId="14" name="Tabela dinâmica9"/>
  </pivotTables>
  <data>
    <tabular pivotCacheId="819845626">
      <items count="14">
        <i x="1" s="1"/>
        <i x="2" s="1"/>
        <i x="3" s="1"/>
        <i x="4" s="1"/>
        <i x="5" s="1"/>
        <i x="6" s="1"/>
        <i x="7" s="1"/>
        <i x="8" s="1"/>
        <i x="9" s="1"/>
        <i x="10" s="1"/>
        <i x="11" s="1"/>
        <i x="12" s="1"/>
        <i x="0" s="1" nd="1"/>
        <i x="13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purl.oclc.org/ooxml/spreadsheetml/main" xmlns:xr10="http://schemas.microsoft.com/office/spreadsheetml/2016/revision10" mc:Ignorable="x xr10">
  <slicer name="cliente" xr10:uid="{283D6704-813C-4DB8-9AB5-B40F5CC6E56C}" cache="SegmentaçãodeDados_cliente" caption="cliente" columnCount="4" rowHeight="257175"/>
</slicers>
</file>

<file path=xl/slicers/slicer2.xml><?xml version="1.0" encoding="utf-8"?>
<slicers xmlns="http://schemas.microsoft.com/office/spreadsheetml/2009/9/main" xmlns:mc="http://schemas.openxmlformats.org/markup-compatibility/2006" xmlns:x="http://purl.oclc.org/ooxml/spreadsheetml/main" xmlns:xr10="http://schemas.microsoft.com/office/spreadsheetml/2016/revision10" mc:Ignorable="x xr10">
  <slicer name="produto" xr10:uid="{F14DFD95-F2BA-4B7D-BA43-C9F83038C1CB}" cache="SegmentaçãodeDados_produto" caption="produto" columnCount="3" rowHeight="257175"/>
</slicers>
</file>

<file path=xl/slicers/slicer3.xml><?xml version="1.0" encoding="utf-8"?>
<slicers xmlns="http://schemas.microsoft.com/office/spreadsheetml/2009/9/main" xmlns:mc="http://schemas.openxmlformats.org/markup-compatibility/2006" xmlns:x="http://purl.oclc.org/ooxml/spreadsheetml/main" xmlns:xr10="http://schemas.microsoft.com/office/spreadsheetml/2016/revision10" mc:Ignorable="x xr10">
  <slicer name="estado" xr10:uid="{6CEEF4AA-82E6-46E4-BEE7-7E9BD9C5F052}" cache="SegmentaçãodeDados_estado" caption="estado" columnCount="4" rowHeight="257175"/>
  <slicer name="Meses (data)" xr10:uid="{113BF730-E70F-4E27-9347-4A80F8CFB905}" cache="SegmentaçãodeDados_Meses__data" caption="Meses (data)" columnCount="2" rowHeight="257175"/>
</slicers>
</file>

<file path=xl/tables/table1.xml><?xml version="1.0" encoding="utf-8"?>
<table xmlns="http://purl.oclc.org/ooxml/spreadsheetml/main" xmlns:mc="http://schemas.openxmlformats.org/markup-compatibility/2006" xmlns:xr="http://schemas.microsoft.com/office/spreadsheetml/2014/revision" xmlns:xr3="http://schemas.microsoft.com/office/spreadsheetml/2016/revision3" mc:Ignorable="xr xr3" id="2" xr:uid="{851A129D-897C-4798-87B6-48EAAD1A6DF4}" name="Tabela2" displayName="Tabela2" ref="A1:F31" totalsRowShown="0">
  <autoFilter ref="A1:F31" xr:uid="{851A129D-897C-4798-87B6-48EAAD1A6DF4}"/>
  <tableColumns count="6">
    <tableColumn id="1" xr3:uid="{4709DA17-1F4D-47C9-BFB0-0F1E7C739915}" name="id_venda"/>
    <tableColumn id="2" xr3:uid="{1363EFF7-F9A2-42D9-8DDE-C06F4B50B609}" name="cliente"/>
    <tableColumn id="3" xr3:uid="{71A41585-9FFF-44C2-9372-3A1DEE5C42A0}" name="data" dataDxfId="10"/>
    <tableColumn id="4" xr3:uid="{1CD3275E-11BA-46CC-9903-FDB80B69E289}" name="valor" dataDxfId="9" dataCellStyle="Vírgula"/>
    <tableColumn id="5" xr3:uid="{2C8FB900-C145-45A6-BB6B-CFD9E415B497}" name="produto"/>
    <tableColumn id="6" xr3:uid="{3AF5F713-D990-43B0-984B-C6DA65C9226A}" name="estado"/>
  </tableColumns>
  <tableStyleInfo name="TableStyleMedium2" showFirstColumn="0" showLastColumn="0" showRowStripes="1" showColumnStripes="0"/>
</table>
</file>

<file path=xl/theme/theme1.xml><?xml version="1.0" encoding="utf-8"?>
<a:theme xmlns:a="http://purl.oclc.org/ooxml/drawingml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  <a:ln w="2540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purl.oclc.org/ooxml/officeDocument/relationships/pivotTable" Target="../pivotTables/pivotTable3.xml"/><Relationship Id="rId2" Type="http://purl.oclc.org/ooxml/officeDocument/relationships/pivotTable" Target="../pivotTables/pivotTable2.xml"/><Relationship Id="rId1" Type="http://purl.oclc.org/ooxml/officeDocument/relationships/pivotTable" Target="../pivotTables/pivotTable1.xml"/><Relationship Id="rId5" Type="http://purl.oclc.org/ooxml/officeDocument/relationships/pivotTable" Target="../pivotTables/pivotTable5.xml"/><Relationship Id="rId4" Type="http://purl.oclc.org/ooxml/officeDocument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1" Type="http://purl.oclc.org/ooxml/officeDocument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purl.oclc.org/ooxml/officeDocument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purl.oclc.org/ooxml/officeDocument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2" Type="http://schemas.microsoft.com/office/2007/relationships/slicer" Target="../slicers/slicer2.xml"/><Relationship Id="rId1" Type="http://purl.oclc.org/ooxml/officeDocument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purl.oclc.org/ooxml/officeDocument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2" Type="http://schemas.microsoft.com/office/2007/relationships/slicer" Target="../slicers/slicer3.xml"/><Relationship Id="rId1" Type="http://purl.oclc.org/ooxml/officeDocument/relationships/drawing" Target="../drawings/drawing5.xml"/></Relationships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29103-37C9-4427-83D9-87B16C8C6666}">
  <dimension ref="A3:P16"/>
  <sheetViews>
    <sheetView workbookViewId="0">
      <selection activeCell="A3" sqref="A3"/>
    </sheetView>
  </sheetViews>
  <sheetFormatPr defaultRowHeight="15" x14ac:dyDescent="0.25"/>
  <cols>
    <col min="1" max="1" width="18.42578125" bestFit="1" customWidth="1"/>
    <col min="2" max="2" width="15.140625" bestFit="1" customWidth="1"/>
    <col min="5" max="5" width="18.42578125" bestFit="1" customWidth="1"/>
    <col min="6" max="6" width="15.140625" bestFit="1" customWidth="1"/>
    <col min="8" max="8" width="18.42578125" bestFit="1" customWidth="1"/>
    <col min="9" max="9" width="15.140625" bestFit="1" customWidth="1"/>
    <col min="13" max="13" width="18.42578125" bestFit="1" customWidth="1"/>
    <col min="14" max="14" width="13.7109375" bestFit="1" customWidth="1"/>
    <col min="16" max="17" width="15.140625" bestFit="1" customWidth="1"/>
  </cols>
  <sheetData>
    <row r="3" spans="1:16" x14ac:dyDescent="0.25">
      <c r="A3" s="4" t="s">
        <v>53</v>
      </c>
      <c r="B3" s="6" t="s">
        <v>67</v>
      </c>
      <c r="E3" s="4" t="s">
        <v>53</v>
      </c>
      <c r="F3" s="6" t="s">
        <v>67</v>
      </c>
      <c r="H3" s="4" t="s">
        <v>53</v>
      </c>
      <c r="I3" s="6" t="s">
        <v>67</v>
      </c>
      <c r="M3" s="4" t="s">
        <v>53</v>
      </c>
      <c r="N3" t="s">
        <v>67</v>
      </c>
      <c r="P3" s="6" t="s">
        <v>67</v>
      </c>
    </row>
    <row r="4" spans="1:16" x14ac:dyDescent="0.25">
      <c r="A4" s="5" t="s">
        <v>24</v>
      </c>
      <c r="B4" s="6">
        <v>1800</v>
      </c>
      <c r="E4" s="5" t="s">
        <v>61</v>
      </c>
      <c r="F4" s="6">
        <v>2500</v>
      </c>
      <c r="H4" s="5" t="s">
        <v>39</v>
      </c>
      <c r="I4" s="6">
        <v>2600</v>
      </c>
      <c r="M4" s="5" t="s">
        <v>33</v>
      </c>
      <c r="N4" s="6">
        <v>1320</v>
      </c>
      <c r="P4" s="6">
        <v>17445</v>
      </c>
    </row>
    <row r="5" spans="1:16" x14ac:dyDescent="0.25">
      <c r="A5" s="5" t="s">
        <v>25</v>
      </c>
      <c r="B5" s="6">
        <v>1000</v>
      </c>
      <c r="E5" s="5" t="s">
        <v>59</v>
      </c>
      <c r="F5" s="6">
        <v>2215</v>
      </c>
      <c r="H5" s="5" t="s">
        <v>38</v>
      </c>
      <c r="I5" s="6">
        <v>3195</v>
      </c>
      <c r="M5" s="5" t="s">
        <v>46</v>
      </c>
      <c r="N5" s="6">
        <v>3300</v>
      </c>
    </row>
    <row r="6" spans="1:16" x14ac:dyDescent="0.25">
      <c r="A6" s="5" t="s">
        <v>15</v>
      </c>
      <c r="B6" s="6">
        <v>1300</v>
      </c>
      <c r="E6" s="5" t="s">
        <v>57</v>
      </c>
      <c r="F6" s="6">
        <v>1350</v>
      </c>
      <c r="H6" s="5" t="s">
        <v>37</v>
      </c>
      <c r="I6" s="6">
        <v>4750</v>
      </c>
      <c r="M6" s="5" t="s">
        <v>51</v>
      </c>
      <c r="N6" s="6">
        <v>3550</v>
      </c>
    </row>
    <row r="7" spans="1:16" x14ac:dyDescent="0.25">
      <c r="A7" s="5" t="s">
        <v>23</v>
      </c>
      <c r="B7" s="6">
        <v>2200</v>
      </c>
      <c r="E7" s="5" t="s">
        <v>58</v>
      </c>
      <c r="F7" s="6">
        <v>820</v>
      </c>
      <c r="H7" s="5" t="s">
        <v>40</v>
      </c>
      <c r="I7" s="6">
        <v>1150</v>
      </c>
      <c r="M7" s="5" t="s">
        <v>45</v>
      </c>
      <c r="N7" s="6">
        <v>3800</v>
      </c>
    </row>
    <row r="8" spans="1:16" x14ac:dyDescent="0.25">
      <c r="A8" s="5" t="s">
        <v>22</v>
      </c>
      <c r="B8" s="6">
        <v>2000</v>
      </c>
      <c r="E8" s="5" t="s">
        <v>56</v>
      </c>
      <c r="F8" s="6">
        <v>2400</v>
      </c>
      <c r="H8" s="5" t="s">
        <v>35</v>
      </c>
      <c r="I8" s="6">
        <v>1740</v>
      </c>
      <c r="M8" s="5" t="s">
        <v>41</v>
      </c>
      <c r="N8" s="6">
        <v>2180</v>
      </c>
    </row>
    <row r="9" spans="1:16" x14ac:dyDescent="0.25">
      <c r="A9" s="5" t="s">
        <v>54</v>
      </c>
      <c r="B9" s="6">
        <v>8300</v>
      </c>
      <c r="E9" s="5" t="s">
        <v>60</v>
      </c>
      <c r="F9" s="6">
        <v>1170</v>
      </c>
      <c r="H9" s="5" t="s">
        <v>36</v>
      </c>
      <c r="I9" s="6">
        <v>1310</v>
      </c>
      <c r="M9" s="5" t="s">
        <v>54</v>
      </c>
      <c r="N9" s="6">
        <v>14150</v>
      </c>
    </row>
    <row r="10" spans="1:16" x14ac:dyDescent="0.25">
      <c r="E10" s="5" t="s">
        <v>55</v>
      </c>
      <c r="F10" s="6">
        <v>1800</v>
      </c>
      <c r="H10" s="5" t="s">
        <v>34</v>
      </c>
      <c r="I10" s="6">
        <v>2700</v>
      </c>
    </row>
    <row r="11" spans="1:16" x14ac:dyDescent="0.25">
      <c r="E11" s="5" t="s">
        <v>63</v>
      </c>
      <c r="F11" s="6">
        <v>700</v>
      </c>
      <c r="H11" s="5" t="s">
        <v>54</v>
      </c>
      <c r="I11" s="6">
        <v>17445</v>
      </c>
    </row>
    <row r="12" spans="1:16" x14ac:dyDescent="0.25">
      <c r="E12" s="5" t="s">
        <v>62</v>
      </c>
      <c r="F12" s="6">
        <v>740</v>
      </c>
    </row>
    <row r="13" spans="1:16" x14ac:dyDescent="0.25">
      <c r="E13" s="5" t="s">
        <v>64</v>
      </c>
      <c r="F13" s="6">
        <v>2000</v>
      </c>
    </row>
    <row r="14" spans="1:16" x14ac:dyDescent="0.25">
      <c r="E14" s="5" t="s">
        <v>66</v>
      </c>
      <c r="F14" s="6">
        <v>1450</v>
      </c>
    </row>
    <row r="15" spans="1:16" x14ac:dyDescent="0.25">
      <c r="E15" s="5" t="s">
        <v>65</v>
      </c>
      <c r="F15" s="6">
        <v>300</v>
      </c>
    </row>
    <row r="16" spans="1:16" x14ac:dyDescent="0.25">
      <c r="E16" s="5" t="s">
        <v>54</v>
      </c>
      <c r="F16" s="6">
        <v>17445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313BA-B29D-4D17-9D0D-A47BFB15D8AE}">
  <dimension ref="A1:F31"/>
  <sheetViews>
    <sheetView tabSelected="1" workbookViewId="0">
      <selection activeCell="D1" sqref="D1:D31"/>
    </sheetView>
  </sheetViews>
  <sheetFormatPr defaultRowHeight="15" x14ac:dyDescent="0.25"/>
  <cols>
    <col min="1" max="1" width="11.140625" customWidth="1"/>
    <col min="2" max="2" width="9.42578125" customWidth="1"/>
    <col min="3" max="3" width="10.42578125" bestFit="1" customWidth="1"/>
    <col min="4" max="4" width="12.140625" bestFit="1" customWidth="1"/>
    <col min="5" max="5" width="14.140625" bestFit="1" customWidth="1"/>
    <col min="6" max="6" width="9.28515625" customWidth="1"/>
  </cols>
  <sheetData>
    <row r="1" spans="1:6" x14ac:dyDescent="0.25">
      <c r="A1" t="s">
        <v>0</v>
      </c>
      <c r="B1" t="s">
        <v>1</v>
      </c>
      <c r="C1" t="s">
        <v>2</v>
      </c>
      <c r="D1" s="2" t="s">
        <v>3</v>
      </c>
      <c r="E1" t="s">
        <v>4</v>
      </c>
      <c r="F1" t="s">
        <v>5</v>
      </c>
    </row>
    <row r="2" spans="1:6" x14ac:dyDescent="0.25">
      <c r="A2">
        <v>1</v>
      </c>
      <c r="B2" t="s">
        <v>48</v>
      </c>
      <c r="C2" s="1" t="d">
        <v>2024-01-10</v>
      </c>
      <c r="D2" s="2">
        <v>100</v>
      </c>
      <c r="E2" t="s">
        <v>33</v>
      </c>
      <c r="F2" t="s">
        <v>34</v>
      </c>
    </row>
    <row r="3" spans="1:6" x14ac:dyDescent="0.25">
      <c r="A3">
        <v>2</v>
      </c>
      <c r="B3" t="s">
        <v>6</v>
      </c>
      <c r="C3" s="1" t="d">
        <v>2024-01-12</v>
      </c>
      <c r="D3" s="2">
        <v>200</v>
      </c>
      <c r="E3" t="s">
        <v>41</v>
      </c>
      <c r="F3" t="s">
        <v>36</v>
      </c>
    </row>
    <row r="4" spans="1:6" x14ac:dyDescent="0.25">
      <c r="A4">
        <v>3</v>
      </c>
      <c r="B4" t="s">
        <v>7</v>
      </c>
      <c r="C4" s="1" t="d">
        <v>2024-02-27</v>
      </c>
      <c r="D4" s="2">
        <v>150</v>
      </c>
      <c r="E4" t="s">
        <v>42</v>
      </c>
      <c r="F4" t="s">
        <v>35</v>
      </c>
    </row>
    <row r="5" spans="1:6" x14ac:dyDescent="0.25">
      <c r="A5">
        <v>4</v>
      </c>
      <c r="B5" t="s">
        <v>8</v>
      </c>
      <c r="C5" s="1" t="d">
        <v>2024-02-10</v>
      </c>
      <c r="D5" s="2">
        <v>300</v>
      </c>
      <c r="E5" t="s">
        <v>43</v>
      </c>
      <c r="F5" t="s">
        <v>37</v>
      </c>
    </row>
    <row r="6" spans="1:6" x14ac:dyDescent="0.25">
      <c r="A6">
        <v>5</v>
      </c>
      <c r="B6" t="s">
        <v>9</v>
      </c>
      <c r="C6" s="1" t="d">
        <v>2024-03-23</v>
      </c>
      <c r="D6" s="2">
        <v>250</v>
      </c>
      <c r="E6" t="s">
        <v>33</v>
      </c>
      <c r="F6" t="s">
        <v>34</v>
      </c>
    </row>
    <row r="7" spans="1:6" x14ac:dyDescent="0.25">
      <c r="A7">
        <v>6</v>
      </c>
      <c r="B7" t="s">
        <v>10</v>
      </c>
      <c r="C7" s="1" t="d">
        <v>2024-04-15</v>
      </c>
      <c r="D7" s="2">
        <v>120</v>
      </c>
      <c r="E7" t="s">
        <v>44</v>
      </c>
      <c r="F7" t="s">
        <v>38</v>
      </c>
    </row>
    <row r="8" spans="1:6" x14ac:dyDescent="0.25">
      <c r="A8">
        <v>7</v>
      </c>
      <c r="B8" t="s">
        <v>11</v>
      </c>
      <c r="C8" s="1" t="d">
        <v>2024-05-13</v>
      </c>
      <c r="D8" s="2">
        <v>150</v>
      </c>
      <c r="E8" t="s">
        <v>41</v>
      </c>
      <c r="F8" t="s">
        <v>36</v>
      </c>
    </row>
    <row r="9" spans="1:6" x14ac:dyDescent="0.25">
      <c r="A9">
        <v>8</v>
      </c>
      <c r="B9" t="s">
        <v>12</v>
      </c>
      <c r="C9" s="1" t="d">
        <v>2024-06-10</v>
      </c>
      <c r="D9" s="2">
        <v>200</v>
      </c>
      <c r="E9" t="s">
        <v>41</v>
      </c>
      <c r="F9" t="s">
        <v>34</v>
      </c>
    </row>
    <row r="10" spans="1:6" x14ac:dyDescent="0.25">
      <c r="A10">
        <v>9</v>
      </c>
      <c r="B10" t="s">
        <v>13</v>
      </c>
      <c r="C10" s="1" t="d">
        <v>2024-12-10</v>
      </c>
      <c r="D10" s="2">
        <v>300</v>
      </c>
      <c r="E10" t="s">
        <v>43</v>
      </c>
      <c r="F10" t="s">
        <v>37</v>
      </c>
    </row>
    <row r="11" spans="1:6" x14ac:dyDescent="0.25">
      <c r="A11">
        <v>10</v>
      </c>
      <c r="B11" t="s">
        <v>14</v>
      </c>
      <c r="C11" s="1" t="d">
        <v>2024-11-10</v>
      </c>
      <c r="D11" s="2">
        <v>900</v>
      </c>
      <c r="E11" t="s">
        <v>45</v>
      </c>
      <c r="F11" t="s">
        <v>38</v>
      </c>
    </row>
    <row r="12" spans="1:6" x14ac:dyDescent="0.25">
      <c r="A12">
        <v>11</v>
      </c>
      <c r="B12" t="s">
        <v>15</v>
      </c>
      <c r="C12" s="1" t="d">
        <v>2024-02-16</v>
      </c>
      <c r="D12" s="2">
        <v>1300</v>
      </c>
      <c r="E12" t="s">
        <v>46</v>
      </c>
      <c r="F12" t="s">
        <v>39</v>
      </c>
    </row>
    <row r="13" spans="1:6" x14ac:dyDescent="0.25">
      <c r="A13">
        <v>12</v>
      </c>
      <c r="B13" t="s">
        <v>16</v>
      </c>
      <c r="C13" s="1" t="d">
        <v>2024-07-13</v>
      </c>
      <c r="D13" s="2">
        <v>800</v>
      </c>
      <c r="E13" t="s">
        <v>51</v>
      </c>
      <c r="F13" t="s">
        <v>35</v>
      </c>
    </row>
    <row r="14" spans="1:6" x14ac:dyDescent="0.25">
      <c r="A14">
        <v>13</v>
      </c>
      <c r="B14" t="s">
        <v>17</v>
      </c>
      <c r="C14" s="1" t="d">
        <v>2024-08-16</v>
      </c>
      <c r="D14" s="2">
        <v>250</v>
      </c>
      <c r="E14" t="s">
        <v>42</v>
      </c>
      <c r="F14" t="s">
        <v>38</v>
      </c>
    </row>
    <row r="15" spans="1:6" x14ac:dyDescent="0.25">
      <c r="A15">
        <v>14</v>
      </c>
      <c r="B15" t="s">
        <v>18</v>
      </c>
      <c r="C15" s="1" t="d">
        <v>2024-03-11</v>
      </c>
      <c r="D15" s="2">
        <v>150</v>
      </c>
      <c r="E15" t="s">
        <v>47</v>
      </c>
      <c r="F15" t="s">
        <v>34</v>
      </c>
    </row>
    <row r="16" spans="1:6" x14ac:dyDescent="0.25">
      <c r="A16">
        <v>15</v>
      </c>
      <c r="B16" t="s">
        <v>19</v>
      </c>
      <c r="C16" s="1" t="d">
        <v>2024-05-10</v>
      </c>
      <c r="D16" s="2">
        <v>450</v>
      </c>
      <c r="E16" t="s">
        <v>42</v>
      </c>
      <c r="F16" t="s">
        <v>37</v>
      </c>
    </row>
    <row r="17" spans="1:6" x14ac:dyDescent="0.25">
      <c r="A17">
        <v>16</v>
      </c>
      <c r="B17" t="s">
        <v>20</v>
      </c>
      <c r="C17" s="1" t="d">
        <v>2024-09-21</v>
      </c>
      <c r="D17" s="2">
        <v>320</v>
      </c>
      <c r="E17" t="s">
        <v>41</v>
      </c>
      <c r="F17" t="s">
        <v>36</v>
      </c>
    </row>
    <row r="18" spans="1:6" x14ac:dyDescent="0.25">
      <c r="A18">
        <v>17</v>
      </c>
      <c r="B18" t="s">
        <v>21</v>
      </c>
      <c r="C18" s="1" t="d">
        <v>2024-06-23</v>
      </c>
      <c r="D18" s="2">
        <v>450</v>
      </c>
      <c r="E18" t="s">
        <v>47</v>
      </c>
      <c r="F18" t="s">
        <v>35</v>
      </c>
    </row>
    <row r="19" spans="1:6" x14ac:dyDescent="0.25">
      <c r="A19">
        <v>18</v>
      </c>
      <c r="B19" t="s">
        <v>49</v>
      </c>
      <c r="C19" s="1" t="d">
        <v>2024-06-17</v>
      </c>
      <c r="D19" s="2">
        <v>520</v>
      </c>
      <c r="E19" t="s">
        <v>41</v>
      </c>
      <c r="F19" t="s">
        <v>36</v>
      </c>
    </row>
    <row r="20" spans="1:6" x14ac:dyDescent="0.25">
      <c r="A20">
        <v>19</v>
      </c>
      <c r="B20" t="s">
        <v>22</v>
      </c>
      <c r="C20" s="1" t="d">
        <v>2024-10-10</v>
      </c>
      <c r="D20" s="2">
        <v>2000</v>
      </c>
      <c r="E20" t="s">
        <v>46</v>
      </c>
      <c r="F20" t="s">
        <v>34</v>
      </c>
    </row>
    <row r="21" spans="1:6" x14ac:dyDescent="0.25">
      <c r="A21">
        <v>20</v>
      </c>
      <c r="B21" t="s">
        <v>23</v>
      </c>
      <c r="C21" s="1" t="d">
        <v>2024-01-26</v>
      </c>
      <c r="D21" s="2">
        <v>2200</v>
      </c>
      <c r="E21" t="s">
        <v>45</v>
      </c>
      <c r="F21" t="s">
        <v>37</v>
      </c>
    </row>
    <row r="22" spans="1:6" x14ac:dyDescent="0.25">
      <c r="A22">
        <v>21</v>
      </c>
      <c r="B22" t="s">
        <v>24</v>
      </c>
      <c r="C22" s="1" t="d">
        <v>2024-05-12</v>
      </c>
      <c r="D22" s="2">
        <v>1800</v>
      </c>
      <c r="E22" t="s">
        <v>51</v>
      </c>
      <c r="F22" t="s">
        <v>38</v>
      </c>
    </row>
    <row r="23" spans="1:6" x14ac:dyDescent="0.25">
      <c r="A23">
        <v>22</v>
      </c>
      <c r="B23" t="s">
        <v>25</v>
      </c>
      <c r="C23" s="1" t="d">
        <v>2024-07-11</v>
      </c>
      <c r="D23" s="2">
        <v>1000</v>
      </c>
      <c r="E23" t="s">
        <v>52</v>
      </c>
      <c r="F23" t="s">
        <v>39</v>
      </c>
    </row>
    <row r="24" spans="1:6" x14ac:dyDescent="0.25">
      <c r="A24">
        <v>23</v>
      </c>
      <c r="B24" t="s">
        <v>26</v>
      </c>
      <c r="C24" s="1" t="d">
        <v>2024-09-10</v>
      </c>
      <c r="D24" s="2">
        <v>300</v>
      </c>
      <c r="E24" t="s">
        <v>33</v>
      </c>
      <c r="F24" t="s">
        <v>39</v>
      </c>
    </row>
    <row r="25" spans="1:6" x14ac:dyDescent="0.25">
      <c r="A25">
        <v>24</v>
      </c>
      <c r="B25" t="s">
        <v>27</v>
      </c>
      <c r="C25" s="1" t="d">
        <v>2024-02-12</v>
      </c>
      <c r="D25" s="2">
        <v>125</v>
      </c>
      <c r="E25" t="s">
        <v>47</v>
      </c>
      <c r="F25" t="s">
        <v>38</v>
      </c>
    </row>
    <row r="26" spans="1:6" x14ac:dyDescent="0.25">
      <c r="A26">
        <v>25</v>
      </c>
      <c r="B26" t="s">
        <v>28</v>
      </c>
      <c r="C26" s="1" t="d">
        <v>2024-02-21</v>
      </c>
      <c r="D26" s="2">
        <v>340</v>
      </c>
      <c r="E26" t="s">
        <v>41</v>
      </c>
      <c r="F26" t="s">
        <v>35</v>
      </c>
    </row>
    <row r="27" spans="1:6" x14ac:dyDescent="0.25">
      <c r="A27">
        <v>26</v>
      </c>
      <c r="B27" t="s">
        <v>29</v>
      </c>
      <c r="C27" s="1" t="d">
        <v>2024-08-29</v>
      </c>
      <c r="D27" s="2">
        <v>450</v>
      </c>
      <c r="E27" t="s">
        <v>41</v>
      </c>
      <c r="F27" t="s">
        <v>40</v>
      </c>
    </row>
    <row r="28" spans="1:6" x14ac:dyDescent="0.25">
      <c r="A28">
        <v>27</v>
      </c>
      <c r="B28" t="s">
        <v>30</v>
      </c>
      <c r="C28" s="1" t="d">
        <v>2024-11-30</v>
      </c>
      <c r="D28" s="2">
        <v>550</v>
      </c>
      <c r="E28" t="s">
        <v>33</v>
      </c>
      <c r="F28" t="s">
        <v>37</v>
      </c>
    </row>
    <row r="29" spans="1:6" x14ac:dyDescent="0.25">
      <c r="A29">
        <v>28</v>
      </c>
      <c r="B29" t="s">
        <v>31</v>
      </c>
      <c r="C29" s="1" t="d">
        <v>2024-04-25</v>
      </c>
      <c r="D29" s="2">
        <v>700</v>
      </c>
      <c r="E29" t="s">
        <v>45</v>
      </c>
      <c r="F29" t="s">
        <v>40</v>
      </c>
    </row>
    <row r="30" spans="1:6" x14ac:dyDescent="0.25">
      <c r="A30">
        <v>29</v>
      </c>
      <c r="B30" t="s">
        <v>50</v>
      </c>
      <c r="C30" s="1" t="d">
        <v>2024-03-28</v>
      </c>
      <c r="D30" s="2">
        <v>950</v>
      </c>
      <c r="E30" t="s">
        <v>51</v>
      </c>
      <c r="F30" t="s">
        <v>37</v>
      </c>
    </row>
    <row r="31" spans="1:6" x14ac:dyDescent="0.25">
      <c r="A31">
        <v>30</v>
      </c>
      <c r="B31" t="s">
        <v>32</v>
      </c>
      <c r="C31" s="1" t="d">
        <v>2024-09-11</v>
      </c>
      <c r="D31" s="2">
        <v>120</v>
      </c>
      <c r="E31" t="s">
        <v>33</v>
      </c>
      <c r="F31" t="s">
        <v>36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6D5AF-C7AD-4FF5-9475-67F23D172429}">
  <dimension ref="B2:C31"/>
  <sheetViews>
    <sheetView workbookViewId="0">
      <selection activeCell="C2" sqref="C2:C6"/>
    </sheetView>
  </sheetViews>
  <sheetFormatPr defaultRowHeight="15" x14ac:dyDescent="0.25"/>
  <cols>
    <col min="3" max="3" width="12.140625" bestFit="1" customWidth="1"/>
  </cols>
  <sheetData>
    <row r="2" spans="2:3" x14ac:dyDescent="0.25">
      <c r="B2" t="s">
        <v>23</v>
      </c>
      <c r="C2" s="2">
        <v>2200</v>
      </c>
    </row>
    <row r="3" spans="2:3" x14ac:dyDescent="0.25">
      <c r="B3" t="s">
        <v>22</v>
      </c>
      <c r="C3" s="2">
        <v>2000</v>
      </c>
    </row>
    <row r="4" spans="2:3" x14ac:dyDescent="0.25">
      <c r="B4" t="s">
        <v>24</v>
      </c>
      <c r="C4" s="2">
        <v>1800</v>
      </c>
    </row>
    <row r="5" spans="2:3" x14ac:dyDescent="0.25">
      <c r="B5" t="s">
        <v>15</v>
      </c>
      <c r="C5" s="2">
        <v>1300</v>
      </c>
    </row>
    <row r="6" spans="2:3" x14ac:dyDescent="0.25">
      <c r="B6" t="s">
        <v>25</v>
      </c>
      <c r="C6" s="2">
        <v>1000</v>
      </c>
    </row>
    <row r="7" spans="2:3" x14ac:dyDescent="0.25">
      <c r="B7" t="s">
        <v>50</v>
      </c>
      <c r="C7" s="2">
        <v>950</v>
      </c>
    </row>
    <row r="8" spans="2:3" x14ac:dyDescent="0.25">
      <c r="B8" t="s">
        <v>14</v>
      </c>
      <c r="C8" s="2">
        <v>900</v>
      </c>
    </row>
    <row r="9" spans="2:3" x14ac:dyDescent="0.25">
      <c r="B9" t="s">
        <v>16</v>
      </c>
      <c r="C9" s="2">
        <v>800</v>
      </c>
    </row>
    <row r="10" spans="2:3" x14ac:dyDescent="0.25">
      <c r="B10" t="s">
        <v>31</v>
      </c>
      <c r="C10" s="2">
        <v>700</v>
      </c>
    </row>
    <row r="11" spans="2:3" x14ac:dyDescent="0.25">
      <c r="B11" t="s">
        <v>30</v>
      </c>
      <c r="C11" s="2">
        <v>550</v>
      </c>
    </row>
    <row r="12" spans="2:3" x14ac:dyDescent="0.25">
      <c r="B12" t="s">
        <v>49</v>
      </c>
      <c r="C12" s="2">
        <v>520</v>
      </c>
    </row>
    <row r="13" spans="2:3" x14ac:dyDescent="0.25">
      <c r="B13" t="s">
        <v>21</v>
      </c>
      <c r="C13" s="2">
        <v>450</v>
      </c>
    </row>
    <row r="14" spans="2:3" x14ac:dyDescent="0.25">
      <c r="B14" t="s">
        <v>29</v>
      </c>
      <c r="C14" s="2">
        <v>450</v>
      </c>
    </row>
    <row r="15" spans="2:3" x14ac:dyDescent="0.25">
      <c r="B15" t="s">
        <v>19</v>
      </c>
      <c r="C15" s="2">
        <v>450</v>
      </c>
    </row>
    <row r="16" spans="2:3" x14ac:dyDescent="0.25">
      <c r="B16" t="s">
        <v>28</v>
      </c>
      <c r="C16" s="2">
        <v>340</v>
      </c>
    </row>
    <row r="17" spans="2:3" x14ac:dyDescent="0.25">
      <c r="B17" t="s">
        <v>20</v>
      </c>
      <c r="C17" s="2">
        <v>320</v>
      </c>
    </row>
    <row r="18" spans="2:3" x14ac:dyDescent="0.25">
      <c r="B18" t="s">
        <v>13</v>
      </c>
      <c r="C18" s="2">
        <v>300</v>
      </c>
    </row>
    <row r="19" spans="2:3" x14ac:dyDescent="0.25">
      <c r="B19" t="s">
        <v>8</v>
      </c>
      <c r="C19" s="2">
        <v>300</v>
      </c>
    </row>
    <row r="20" spans="2:3" x14ac:dyDescent="0.25">
      <c r="B20" t="s">
        <v>26</v>
      </c>
      <c r="C20" s="2">
        <v>300</v>
      </c>
    </row>
    <row r="21" spans="2:3" x14ac:dyDescent="0.25">
      <c r="B21" t="s">
        <v>17</v>
      </c>
      <c r="C21" s="2">
        <v>250</v>
      </c>
    </row>
    <row r="22" spans="2:3" x14ac:dyDescent="0.25">
      <c r="B22" t="s">
        <v>9</v>
      </c>
      <c r="C22" s="2">
        <v>250</v>
      </c>
    </row>
    <row r="23" spans="2:3" x14ac:dyDescent="0.25">
      <c r="B23" t="s">
        <v>6</v>
      </c>
      <c r="C23" s="2">
        <v>200</v>
      </c>
    </row>
    <row r="24" spans="2:3" x14ac:dyDescent="0.25">
      <c r="B24" t="s">
        <v>12</v>
      </c>
      <c r="C24" s="2">
        <v>200</v>
      </c>
    </row>
    <row r="25" spans="2:3" x14ac:dyDescent="0.25">
      <c r="B25" t="s">
        <v>11</v>
      </c>
      <c r="C25" s="2">
        <v>150</v>
      </c>
    </row>
    <row r="26" spans="2:3" x14ac:dyDescent="0.25">
      <c r="B26" t="s">
        <v>18</v>
      </c>
      <c r="C26" s="2">
        <v>150</v>
      </c>
    </row>
    <row r="27" spans="2:3" x14ac:dyDescent="0.25">
      <c r="B27" t="s">
        <v>7</v>
      </c>
      <c r="C27" s="2">
        <v>150</v>
      </c>
    </row>
    <row r="28" spans="2:3" x14ac:dyDescent="0.25">
      <c r="B28" t="s">
        <v>27</v>
      </c>
      <c r="C28" s="2">
        <v>125</v>
      </c>
    </row>
    <row r="29" spans="2:3" x14ac:dyDescent="0.25">
      <c r="B29" t="s">
        <v>32</v>
      </c>
      <c r="C29" s="2">
        <v>120</v>
      </c>
    </row>
    <row r="30" spans="2:3" x14ac:dyDescent="0.25">
      <c r="B30" t="s">
        <v>10</v>
      </c>
      <c r="C30" s="2">
        <v>120</v>
      </c>
    </row>
    <row r="31" spans="2:3" x14ac:dyDescent="0.25">
      <c r="B31" t="s">
        <v>48</v>
      </c>
      <c r="C31" s="2">
        <v>100</v>
      </c>
    </row>
  </sheetData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4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1FFA5-B1C3-4BD0-89D0-433B37FC7AF5}">
  <dimension ref="B3:C14"/>
  <sheetViews>
    <sheetView workbookViewId="0">
      <selection activeCell="L10" sqref="L10:O11"/>
    </sheetView>
  </sheetViews>
  <sheetFormatPr defaultRowHeight="15" x14ac:dyDescent="0.25"/>
  <cols>
    <col min="3" max="3" width="12.140625" bestFit="1" customWidth="1"/>
  </cols>
  <sheetData>
    <row r="3" spans="2:3" x14ac:dyDescent="0.25">
      <c r="B3">
        <v>1</v>
      </c>
      <c r="C3" s="3">
        <v>2500</v>
      </c>
    </row>
    <row r="4" spans="2:3" x14ac:dyDescent="0.25">
      <c r="B4">
        <v>2</v>
      </c>
      <c r="C4" s="3">
        <v>2215</v>
      </c>
    </row>
    <row r="5" spans="2:3" x14ac:dyDescent="0.25">
      <c r="B5">
        <v>3</v>
      </c>
      <c r="C5" s="3">
        <v>1350</v>
      </c>
    </row>
    <row r="6" spans="2:3" x14ac:dyDescent="0.25">
      <c r="B6">
        <v>4</v>
      </c>
      <c r="C6" s="3">
        <v>820</v>
      </c>
    </row>
    <row r="7" spans="2:3" x14ac:dyDescent="0.25">
      <c r="B7">
        <v>5</v>
      </c>
      <c r="C7" s="3">
        <v>2400</v>
      </c>
    </row>
    <row r="8" spans="2:3" x14ac:dyDescent="0.25">
      <c r="B8">
        <v>6</v>
      </c>
      <c r="C8" s="3">
        <v>1170</v>
      </c>
    </row>
    <row r="9" spans="2:3" x14ac:dyDescent="0.25">
      <c r="B9">
        <v>7</v>
      </c>
      <c r="C9" s="3">
        <v>1800</v>
      </c>
    </row>
    <row r="10" spans="2:3" x14ac:dyDescent="0.25">
      <c r="B10">
        <v>8</v>
      </c>
      <c r="C10" s="3">
        <v>700</v>
      </c>
    </row>
    <row r="11" spans="2:3" x14ac:dyDescent="0.25">
      <c r="B11">
        <v>9</v>
      </c>
      <c r="C11" s="3">
        <v>740</v>
      </c>
    </row>
    <row r="12" spans="2:3" x14ac:dyDescent="0.25">
      <c r="B12">
        <v>10</v>
      </c>
      <c r="C12" s="3">
        <v>2000</v>
      </c>
    </row>
    <row r="13" spans="2:3" x14ac:dyDescent="0.25">
      <c r="B13">
        <v>11</v>
      </c>
      <c r="C13" s="3">
        <v>1450</v>
      </c>
    </row>
    <row r="14" spans="2:3" x14ac:dyDescent="0.25">
      <c r="B14">
        <v>12</v>
      </c>
      <c r="C14" s="3">
        <v>300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5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D9C28-B7A9-43D9-A51F-28BB715BFADB}">
  <dimension ref="B3:C12"/>
  <sheetViews>
    <sheetView workbookViewId="0">
      <selection activeCell="A13" sqref="A13:XFD13"/>
    </sheetView>
  </sheetViews>
  <sheetFormatPr defaultRowHeight="15" x14ac:dyDescent="0.25"/>
  <cols>
    <col min="2" max="2" width="14.140625" bestFit="1" customWidth="1"/>
    <col min="3" max="3" width="12.140625" style="2" bestFit="1" customWidth="1"/>
  </cols>
  <sheetData>
    <row r="3" spans="2:3" x14ac:dyDescent="0.25">
      <c r="B3" t="s">
        <v>45</v>
      </c>
      <c r="C3" s="2">
        <v>3800</v>
      </c>
    </row>
    <row r="4" spans="2:3" x14ac:dyDescent="0.25">
      <c r="B4" t="s">
        <v>51</v>
      </c>
      <c r="C4" s="2">
        <v>3550</v>
      </c>
    </row>
    <row r="5" spans="2:3" x14ac:dyDescent="0.25">
      <c r="B5" t="s">
        <v>46</v>
      </c>
      <c r="C5" s="2">
        <v>3300</v>
      </c>
    </row>
    <row r="6" spans="2:3" x14ac:dyDescent="0.25">
      <c r="B6" t="s">
        <v>41</v>
      </c>
      <c r="C6" s="2">
        <v>2180</v>
      </c>
    </row>
    <row r="7" spans="2:3" x14ac:dyDescent="0.25">
      <c r="B7" t="s">
        <v>33</v>
      </c>
      <c r="C7" s="2">
        <v>1320</v>
      </c>
    </row>
    <row r="8" spans="2:3" x14ac:dyDescent="0.25">
      <c r="B8" t="s">
        <v>52</v>
      </c>
      <c r="C8" s="2">
        <v>1000</v>
      </c>
    </row>
    <row r="9" spans="2:3" x14ac:dyDescent="0.25">
      <c r="B9" t="s">
        <v>42</v>
      </c>
      <c r="C9" s="2">
        <v>850</v>
      </c>
    </row>
    <row r="10" spans="2:3" x14ac:dyDescent="0.25">
      <c r="B10" t="s">
        <v>47</v>
      </c>
      <c r="C10" s="2">
        <v>725</v>
      </c>
    </row>
    <row r="11" spans="2:3" x14ac:dyDescent="0.25">
      <c r="B11" t="s">
        <v>43</v>
      </c>
      <c r="C11" s="2">
        <v>600</v>
      </c>
    </row>
    <row r="12" spans="2:3" x14ac:dyDescent="0.25">
      <c r="B12" t="s">
        <v>44</v>
      </c>
      <c r="C12" s="2">
        <v>120</v>
      </c>
    </row>
  </sheetData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6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04866-D2BE-4962-9F2F-9EECFE1D766A}">
  <dimension ref="B2:C8"/>
  <sheetViews>
    <sheetView workbookViewId="0">
      <selection activeCell="I16" sqref="I16:I17"/>
    </sheetView>
  </sheetViews>
  <sheetFormatPr defaultRowHeight="15" x14ac:dyDescent="0.25"/>
  <cols>
    <col min="3" max="3" width="12.140625" bestFit="1" customWidth="1"/>
  </cols>
  <sheetData>
    <row r="2" spans="2:3" x14ac:dyDescent="0.25">
      <c r="B2" t="s">
        <v>39</v>
      </c>
      <c r="C2" s="2">
        <v>2600</v>
      </c>
    </row>
    <row r="3" spans="2:3" x14ac:dyDescent="0.25">
      <c r="B3" t="s">
        <v>38</v>
      </c>
      <c r="C3" s="2">
        <v>3195</v>
      </c>
    </row>
    <row r="4" spans="2:3" x14ac:dyDescent="0.25">
      <c r="B4" t="s">
        <v>37</v>
      </c>
      <c r="C4" s="2">
        <v>4750</v>
      </c>
    </row>
    <row r="5" spans="2:3" x14ac:dyDescent="0.25">
      <c r="B5" t="s">
        <v>40</v>
      </c>
      <c r="C5" s="2">
        <v>1150</v>
      </c>
    </row>
    <row r="6" spans="2:3" x14ac:dyDescent="0.25">
      <c r="B6" t="s">
        <v>35</v>
      </c>
      <c r="C6" s="2">
        <v>1740</v>
      </c>
    </row>
    <row r="7" spans="2:3" x14ac:dyDescent="0.25">
      <c r="B7" t="s">
        <v>36</v>
      </c>
      <c r="C7" s="2">
        <v>1310</v>
      </c>
    </row>
    <row r="8" spans="2:3" x14ac:dyDescent="0.25">
      <c r="B8" t="s">
        <v>34</v>
      </c>
      <c r="C8" s="2">
        <v>2700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7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04C3-24CD-4307-AA11-4E9DFD19352E}">
  <dimension ref="A1:Z47"/>
  <sheetViews>
    <sheetView showGridLines="0" workbookViewId="0">
      <selection activeCell="T21" sqref="T21"/>
    </sheetView>
  </sheetViews>
  <sheetFormatPr defaultColWidth="0" defaultRowHeight="15" x14ac:dyDescent="0.25"/>
  <cols>
    <col min="1" max="3" width="9.140625" customWidth="1"/>
    <col min="4" max="4" width="23.28515625" bestFit="1" customWidth="1"/>
    <col min="5" max="5" width="13.28515625" bestFit="1" customWidth="1"/>
    <col min="6" max="6" width="9.140625" customWidth="1"/>
    <col min="7" max="7" width="15.5703125" bestFit="1" customWidth="1"/>
    <col min="8" max="23" width="9.140625" customWidth="1"/>
    <col min="27" max="16384" width="9.140625" hidden="1"/>
  </cols>
  <sheetData>
    <row r="1" spans="1:26" x14ac:dyDescent="0.25">
      <c r="A1" s="8"/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</row>
    <row r="2" spans="1:26" ht="26.25" x14ac:dyDescent="0.4">
      <c r="A2" s="8"/>
      <c r="B2" s="20" t="s">
        <v>68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7"/>
      <c r="Y2" s="7"/>
      <c r="Z2" s="7"/>
    </row>
    <row r="3" spans="1:26" x14ac:dyDescent="0.25">
      <c r="A3" s="8"/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</row>
    <row r="4" spans="1:26" ht="20.25" thickBot="1" x14ac:dyDescent="0.35">
      <c r="A4" s="8"/>
      <c r="B4" s="8"/>
      <c r="C4" s="8"/>
      <c r="D4" s="9" t="s">
        <v>71</v>
      </c>
      <c r="E4" s="9"/>
      <c r="F4" s="8"/>
      <c r="G4" s="9" t="s">
        <v>69</v>
      </c>
      <c r="H4" s="10"/>
      <c r="I4" s="9" t="s">
        <v>70</v>
      </c>
      <c r="J4" s="9"/>
      <c r="K4" s="9"/>
      <c r="L4" s="9"/>
      <c r="M4" s="8"/>
      <c r="N4" s="8"/>
      <c r="O4" s="8"/>
      <c r="P4" s="8"/>
      <c r="Q4" s="8"/>
      <c r="R4" s="8"/>
      <c r="S4" s="8"/>
      <c r="T4" s="8"/>
      <c r="U4" s="8"/>
      <c r="V4" s="8"/>
      <c r="W4" s="8"/>
    </row>
    <row r="5" spans="1:26" ht="21" thickTop="1" thickBot="1" x14ac:dyDescent="0.35">
      <c r="A5" s="8"/>
      <c r="B5" s="8"/>
      <c r="C5" s="8"/>
      <c r="D5" s="9"/>
      <c r="E5" s="9"/>
      <c r="F5" s="8"/>
      <c r="G5" s="9"/>
      <c r="H5" s="8"/>
      <c r="I5" s="9"/>
      <c r="J5" s="9"/>
      <c r="K5" s="9"/>
      <c r="L5" s="9"/>
      <c r="M5" s="8"/>
      <c r="N5" s="8"/>
      <c r="O5" s="8"/>
      <c r="P5" s="8"/>
      <c r="Q5" s="8"/>
      <c r="R5" s="8"/>
      <c r="S5" s="8"/>
      <c r="T5" s="8"/>
      <c r="U5" s="8"/>
      <c r="V5" s="8"/>
      <c r="W5" s="8"/>
    </row>
    <row r="6" spans="1:26" ht="21" thickTop="1" thickBot="1" x14ac:dyDescent="0.35">
      <c r="A6" s="8"/>
      <c r="B6" s="8"/>
      <c r="C6" s="8"/>
      <c r="D6" s="11">
        <v>17445</v>
      </c>
      <c r="E6" s="11"/>
      <c r="F6" s="8"/>
      <c r="G6" s="11">
        <f>AVERAGE(Tabela2[valor])</f>
        <v>581.5</v>
      </c>
      <c r="H6" s="8"/>
      <c r="I6" s="9"/>
      <c r="J6" s="9">
        <f>COUNTA(_xlfn.UNIQUE(Tabela2[cliente]))</f>
        <v>30</v>
      </c>
      <c r="K6" s="9"/>
      <c r="L6" s="9"/>
      <c r="M6" s="8"/>
      <c r="N6" s="8"/>
      <c r="O6" s="8"/>
      <c r="P6" s="8"/>
      <c r="Q6" s="8"/>
      <c r="R6" s="8"/>
      <c r="S6" s="8"/>
      <c r="T6" s="8"/>
      <c r="U6" s="8"/>
      <c r="V6" s="8"/>
      <c r="W6" s="8"/>
    </row>
    <row r="7" spans="1:26" ht="21" thickTop="1" thickBot="1" x14ac:dyDescent="0.35">
      <c r="A7" s="8"/>
      <c r="B7" s="8"/>
      <c r="C7" s="8"/>
      <c r="D7" s="9"/>
      <c r="E7" s="9"/>
      <c r="F7" s="8"/>
      <c r="G7" s="8"/>
      <c r="H7" s="8"/>
      <c r="I7" s="9"/>
      <c r="J7" s="9"/>
      <c r="K7" s="9"/>
      <c r="L7" s="9"/>
      <c r="M7" s="8"/>
      <c r="N7" s="8"/>
      <c r="O7" s="8"/>
      <c r="P7" s="8"/>
      <c r="Q7" s="8"/>
      <c r="R7" s="8"/>
      <c r="S7" s="8"/>
      <c r="T7" s="8"/>
      <c r="U7" s="8"/>
      <c r="V7" s="8"/>
      <c r="W7" s="8"/>
    </row>
    <row r="8" spans="1:26" ht="15.75" thickTop="1" x14ac:dyDescent="0.25">
      <c r="A8" s="8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</row>
    <row r="9" spans="1:26" x14ac:dyDescent="0.25">
      <c r="A9" s="8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</row>
    <row r="10" spans="1:26" x14ac:dyDescent="0.25">
      <c r="A10" s="8"/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</row>
    <row r="11" spans="1:26" x14ac:dyDescent="0.25">
      <c r="A11" s="8"/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</row>
    <row r="12" spans="1:26" x14ac:dyDescent="0.25">
      <c r="A12" s="8"/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</row>
    <row r="13" spans="1:26" x14ac:dyDescent="0.25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</row>
    <row r="14" spans="1:26" x14ac:dyDescent="0.25">
      <c r="A14" s="8"/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</row>
    <row r="15" spans="1:26" x14ac:dyDescent="0.25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</row>
    <row r="16" spans="1:26" x14ac:dyDescent="0.25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</row>
    <row r="17" spans="1:23" x14ac:dyDescent="0.25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</row>
    <row r="18" spans="1:23" x14ac:dyDescent="0.25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</row>
    <row r="19" spans="1:23" x14ac:dyDescent="0.25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</row>
    <row r="20" spans="1:23" x14ac:dyDescent="0.25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</row>
    <row r="21" spans="1:23" x14ac:dyDescent="0.25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</row>
    <row r="22" spans="1:23" x14ac:dyDescent="0.25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</row>
    <row r="23" spans="1:23" x14ac:dyDescent="0.25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</row>
    <row r="24" spans="1:23" x14ac:dyDescent="0.25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</row>
    <row r="25" spans="1:23" x14ac:dyDescent="0.25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</row>
    <row r="26" spans="1:23" x14ac:dyDescent="0.25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</row>
    <row r="27" spans="1:23" x14ac:dyDescent="0.25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</row>
    <row r="28" spans="1:23" x14ac:dyDescent="0.25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</row>
    <row r="29" spans="1:23" x14ac:dyDescent="0.25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</row>
    <row r="30" spans="1:23" x14ac:dyDescent="0.25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</row>
    <row r="31" spans="1:23" x14ac:dyDescent="0.25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</row>
    <row r="32" spans="1:23" x14ac:dyDescent="0.25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</row>
    <row r="33" spans="1:23" x14ac:dyDescent="0.25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</row>
    <row r="34" spans="1:23" x14ac:dyDescent="0.25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</row>
    <row r="35" spans="1:23" x14ac:dyDescent="0.2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</row>
    <row r="36" spans="1:23" x14ac:dyDescent="0.25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</row>
    <row r="37" spans="1:23" x14ac:dyDescent="0.25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</row>
    <row r="38" spans="1:23" x14ac:dyDescent="0.25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</row>
    <row r="39" spans="1:23" x14ac:dyDescent="0.25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</row>
    <row r="40" spans="1:23" ht="21" x14ac:dyDescent="0.35">
      <c r="A40" s="8"/>
      <c r="B40" s="12"/>
      <c r="C40" s="13" t="s">
        <v>72</v>
      </c>
      <c r="D40" s="13"/>
      <c r="E40" s="14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8"/>
      <c r="V40" s="8"/>
    </row>
    <row r="41" spans="1:23" x14ac:dyDescent="0.25">
      <c r="A41" s="8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8"/>
      <c r="V41" s="8"/>
    </row>
    <row r="42" spans="1:23" ht="18.75" x14ac:dyDescent="0.3">
      <c r="A42" s="8"/>
      <c r="B42" s="12"/>
      <c r="C42" s="15" t="s">
        <v>73</v>
      </c>
      <c r="D42" s="16"/>
      <c r="E42" s="16"/>
      <c r="F42" s="16"/>
      <c r="G42" s="12"/>
      <c r="H42" s="12"/>
      <c r="I42" s="12"/>
      <c r="J42" s="15" t="s">
        <v>76</v>
      </c>
      <c r="K42" s="15"/>
      <c r="L42" s="15"/>
      <c r="M42" s="15"/>
      <c r="N42" s="15"/>
      <c r="O42" s="15"/>
      <c r="P42" s="12"/>
      <c r="Q42" s="12"/>
      <c r="R42" s="12"/>
      <c r="S42" s="12"/>
      <c r="T42" s="12"/>
      <c r="U42" s="8"/>
      <c r="V42" s="8"/>
    </row>
    <row r="43" spans="1:23" ht="18.75" x14ac:dyDescent="0.3">
      <c r="A43" s="8"/>
      <c r="B43" s="12"/>
      <c r="C43" s="15" t="s">
        <v>74</v>
      </c>
      <c r="D43" s="16"/>
      <c r="E43" s="16"/>
      <c r="F43" s="16"/>
      <c r="G43" s="12"/>
      <c r="H43" s="12"/>
      <c r="I43" s="12"/>
      <c r="J43" s="17" t="s">
        <v>75</v>
      </c>
      <c r="K43" s="17"/>
      <c r="L43" s="17"/>
      <c r="M43" s="17"/>
      <c r="N43" s="17"/>
      <c r="O43" s="17"/>
      <c r="P43" s="12"/>
      <c r="Q43" s="12"/>
      <c r="R43" s="12"/>
      <c r="S43" s="12"/>
      <c r="T43" s="12"/>
      <c r="U43" s="8"/>
      <c r="V43" s="8"/>
    </row>
    <row r="44" spans="1:23" ht="18.75" x14ac:dyDescent="0.3">
      <c r="A44" s="8"/>
      <c r="B44" s="12"/>
      <c r="C44" s="18"/>
      <c r="D44" s="18"/>
      <c r="E44" s="18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8"/>
      <c r="V44" s="8"/>
    </row>
    <row r="45" spans="1:23" x14ac:dyDescent="0.25">
      <c r="A45" s="8"/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8"/>
      <c r="V45" s="8"/>
    </row>
    <row r="46" spans="1:23" x14ac:dyDescent="0.25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</row>
    <row r="47" spans="1:23" x14ac:dyDescent="0.25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</row>
  </sheetData>
  <mergeCells count="5">
    <mergeCell ref="B2:W2"/>
    <mergeCell ref="C42:F42"/>
    <mergeCell ref="C43:F43"/>
    <mergeCell ref="C40:D40"/>
    <mergeCell ref="J42:O42"/>
  </mergeCells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docProps/app.xml><?xml version="1.0" encoding="utf-8"?>
<Properties xmlns="http://purl.oclc.org/ooxml/officeDocument/extendedProperties" xmlns:vt="http://purl.oclc.org/ooxml/officeDocument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Tabela Dinamica</vt:lpstr>
      <vt:lpstr>Base_Dados</vt:lpstr>
      <vt:lpstr>vendas_cliente</vt:lpstr>
      <vt:lpstr>vendas_mes</vt:lpstr>
      <vt:lpstr>vendas_produto</vt:lpstr>
      <vt:lpstr>vendas_estado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Reus</dc:creator>
  <cp:lastModifiedBy>Felipe Reus</cp:lastModifiedBy>
  <dcterms:created xsi:type="dcterms:W3CDTF">2026-04-26T02:23:21Z</dcterms:created>
  <dcterms:modified xsi:type="dcterms:W3CDTF">2026-04-26T05:51:28Z</dcterms:modified>
</cp:coreProperties>
</file>