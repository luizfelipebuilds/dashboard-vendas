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Projetos Dashboard\projeto-dashboard-vendas\"/>
    </mc:Choice>
  </mc:AlternateContent>
  <xr:revisionPtr revIDLastSave="0" documentId="13_ncr:9_{5808834F-DF42-4A01-8D14-88F7732EE704}" xr6:coauthVersionLast="47" xr6:coauthVersionMax="47" xr10:uidLastSave="{00000000-0000-0000-0000-000000000000}"/>
  <bookViews>
    <workbookView xWindow="-28920" yWindow="-135" windowWidth="29040" windowHeight="15720" activeTab="6" xr2:uid="{0701A71C-031F-4BBB-95D0-679F2B78E19B}"/>
  </bookViews>
  <sheets>
    <sheet name="Tabela Dinamica" sheetId="14" r:id="rId1"/>
    <sheet name="Base_Dados" sheetId="1" r:id="rId2"/>
    <sheet name="vendas_cliente" sheetId="8" r:id="rId3"/>
    <sheet name="vendas_mes" sheetId="9" r:id="rId4"/>
    <sheet name="vendas_produto" sheetId="11" r:id="rId5"/>
    <sheet name="vendas_estado" sheetId="10" r:id="rId6"/>
    <sheet name="Dashboard" sheetId="12" r:id="rId7"/>
  </sheets>
  <definedNames>
    <definedName name="_xlnm._FilterDatabase" localSheetId="0" hidden="1">'Tabela Dinamica'!$L$3:$L$4</definedName>
    <definedName name="SegmentaçãodeDados_cliente">#N/A</definedName>
    <definedName name="SegmentaçãodeDados_estado">#N/A</definedName>
    <definedName name="SegmentaçãodeDados_Meses__data">#N/A</definedName>
    <definedName name="SegmentaçãodeDados_produto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J6" i="12"/>
</calcChain>
</file>

<file path=xl/sharedStrings.xml><?xml version="1.0" encoding="utf-8"?>
<sst xmlns="http://purl.oclc.org/ooxml/spreadsheetml/main" count="236" uniqueCount="83">
  <si>
    <t>id_venda</t>
  </si>
  <si>
    <t>cliente</t>
  </si>
  <si>
    <t>data</t>
  </si>
  <si>
    <t>produto</t>
  </si>
  <si>
    <t>estado</t>
  </si>
  <si>
    <t>Maria</t>
  </si>
  <si>
    <t>Felipe</t>
  </si>
  <si>
    <t>Marcos</t>
  </si>
  <si>
    <t>Ana</t>
  </si>
  <si>
    <t>Carlos</t>
  </si>
  <si>
    <t>Melissa</t>
  </si>
  <si>
    <t>Carolina</t>
  </si>
  <si>
    <t>Pamela</t>
  </si>
  <si>
    <t>Thamires</t>
  </si>
  <si>
    <t>Claudio</t>
  </si>
  <si>
    <t>Alexandre</t>
  </si>
  <si>
    <t>Fernando</t>
  </si>
  <si>
    <t>Marcela</t>
  </si>
  <si>
    <t>Marcelle</t>
  </si>
  <si>
    <t>Philipe</t>
  </si>
  <si>
    <t>Wallace</t>
  </si>
  <si>
    <t>Kleiton</t>
  </si>
  <si>
    <t>Elaine</t>
  </si>
  <si>
    <t>Alice</t>
  </si>
  <si>
    <t>Bruna</t>
  </si>
  <si>
    <t>Emerson</t>
  </si>
  <si>
    <t>Arthur</t>
  </si>
  <si>
    <t>Mayara</t>
  </si>
  <si>
    <t>Raquel</t>
  </si>
  <si>
    <t>Vandro</t>
  </si>
  <si>
    <t>Anderson</t>
  </si>
  <si>
    <t>Luana</t>
  </si>
  <si>
    <t>Mouse</t>
  </si>
  <si>
    <t>SP</t>
  </si>
  <si>
    <t>MG</t>
  </si>
  <si>
    <t>RJ</t>
  </si>
  <si>
    <t>ES</t>
  </si>
  <si>
    <t>DF</t>
  </si>
  <si>
    <t>BA</t>
  </si>
  <si>
    <t>MA</t>
  </si>
  <si>
    <t>Teclado</t>
  </si>
  <si>
    <t>Headset</t>
  </si>
  <si>
    <t>Monitor</t>
  </si>
  <si>
    <t>MousePad</t>
  </si>
  <si>
    <t>Processador</t>
  </si>
  <si>
    <t>Placa de Video</t>
  </si>
  <si>
    <t>Headphone</t>
  </si>
  <si>
    <t>Joao</t>
  </si>
  <si>
    <t>Otavio</t>
  </si>
  <si>
    <t>Lais</t>
  </si>
  <si>
    <t>PlacaMae</t>
  </si>
  <si>
    <t>MemoriaRam</t>
  </si>
  <si>
    <t>Rótulos de Linha</t>
  </si>
  <si>
    <t>Total Geral</t>
  </si>
  <si>
    <t>Jul</t>
  </si>
  <si>
    <t>May</t>
  </si>
  <si>
    <t>Mar</t>
  </si>
  <si>
    <t>Apr</t>
  </si>
  <si>
    <t>Feb</t>
  </si>
  <si>
    <t>Jun</t>
  </si>
  <si>
    <t>Jan</t>
  </si>
  <si>
    <t>Sept</t>
  </si>
  <si>
    <t>Aug</t>
  </si>
  <si>
    <t>Oct</t>
  </si>
  <si>
    <t>Dec</t>
  </si>
  <si>
    <t>Nov</t>
  </si>
  <si>
    <t>DASHBOARD DE VENDAS</t>
  </si>
  <si>
    <t>TOTAL DE CLIENTES ÚNICOS</t>
  </si>
  <si>
    <t>TOTAL DE VENDAS</t>
  </si>
  <si>
    <t>INSIGHTS PRINCIPAIS</t>
  </si>
  <si>
    <t>RIO DE JANEIRO É O ESTADO COM MAIOR VOLUME DE VENDAS.</t>
  </si>
  <si>
    <t>quantidade</t>
  </si>
  <si>
    <t>preço unitário</t>
  </si>
  <si>
    <t>faturamento</t>
  </si>
  <si>
    <t>Soma de faturamento</t>
  </si>
  <si>
    <t>TECLADO É O PRODUTO MAIS VENDIDO.</t>
  </si>
  <si>
    <t>Soma de quantidade</t>
  </si>
  <si>
    <t xml:space="preserve">          PLACAMÃE É O PRODUTO QUE MAIS GERA RECEITA.</t>
  </si>
  <si>
    <t>MAIO FOI O MÊS COM MAIOR FATURAMENTO.</t>
  </si>
  <si>
    <t>KLEITON É O CLIENTE QUE MAIS GEROU RECEITA.</t>
  </si>
  <si>
    <t>Média de faturamento</t>
  </si>
  <si>
    <t>FATURAMENTO MÉDIO</t>
  </si>
  <si>
    <t>R$ 1809,67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</si>
</sst>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sz val="14"/>
      <color theme="4" tint="-0.499984740745262"/>
      <name val="Aptos Narrow"/>
      <family val="2"/>
      <scheme val="minor"/>
    </font>
    <font>
      <b/>
      <sz val="20"/>
      <color theme="4" tint="-0.499984740745262"/>
      <name val="Aptos Narrow"/>
      <family val="2"/>
      <scheme val="minor"/>
    </font>
    <font>
      <sz val="11"/>
      <color rgb="FFC5C8C6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indexed="65"/>
      </start>
      <end/>
      <top style="thin">
        <color rgb="FF999999"/>
      </top>
      <bottom/>
      <diagonal/>
    </border>
    <border>
      <start style="thin">
        <color indexed="65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 style="thin">
        <color indexed="65"/>
      </top>
      <bottom/>
      <diagonal/>
    </border>
    <border>
      <start style="thin">
        <color indexed="65"/>
      </start>
      <end/>
      <top style="thin">
        <color indexed="65"/>
      </top>
      <bottom/>
      <diagonal/>
    </border>
    <border>
      <start style="thin">
        <color indexed="65"/>
      </start>
      <end style="thin">
        <color rgb="FF999999"/>
      </end>
      <top style="thin">
        <color indexed="65"/>
      </top>
      <bottom/>
      <diagonal/>
    </border>
    <border>
      <start style="thin">
        <color rgb="FF999999"/>
      </start>
      <end/>
      <top style="thin">
        <color indexed="65"/>
      </top>
      <bottom style="thin">
        <color rgb="FF999999"/>
      </bottom>
      <diagonal/>
    </border>
    <border>
      <start style="thin">
        <color indexed="65"/>
      </start>
      <end/>
      <top style="thin">
        <color indexed="65"/>
      </top>
      <bottom style="thin">
        <color rgb="FF999999"/>
      </bottom>
      <diagonal/>
    </border>
    <border>
      <start style="thin">
        <color indexed="65"/>
      </start>
      <end style="thin">
        <color rgb="FF999999"/>
      </end>
      <top style="thin">
        <color indexed="65"/>
      </top>
      <bottom style="thin">
        <color rgb="FF999999"/>
      </bottom>
      <diagonal/>
    </border>
    <border>
      <start/>
      <end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8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2" borderId="0" xfId="0" applyFont="1" applyFill="1" applyAlignment="1"/>
    <xf numFmtId="0" fontId="0" fillId="3" borderId="0" xfId="0" applyFill="1"/>
    <xf numFmtId="0" fontId="2" fillId="3" borderId="1" xfId="2" applyFill="1"/>
    <xf numFmtId="164" fontId="2" fillId="3" borderId="1" xfId="2" applyNumberFormat="1" applyFill="1"/>
    <xf numFmtId="0" fontId="5" fillId="4" borderId="0" xfId="0" applyFont="1" applyFill="1"/>
    <xf numFmtId="0" fontId="7" fillId="4" borderId="0" xfId="0" applyFont="1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5" fontId="0" fillId="0" borderId="0" xfId="0" applyNumberFormat="1"/>
    <xf numFmtId="0" fontId="9" fillId="0" borderId="0" xfId="0" applyFont="1"/>
    <xf numFmtId="0" fontId="6" fillId="4" borderId="0" xfId="0" applyFont="1" applyFill="1" applyAlignment="1"/>
    <xf numFmtId="0" fontId="6" fillId="4" borderId="0" xfId="0" applyFont="1" applyFill="1"/>
    <xf numFmtId="0" fontId="8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5" borderId="11" xfId="0" applyFont="1" applyFill="1" applyBorder="1"/>
    <xf numFmtId="0" fontId="0" fillId="0" borderId="11" xfId="0" applyFont="1" applyBorder="1"/>
    <xf numFmtId="0" fontId="2" fillId="3" borderId="1" xfId="2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0" fillId="6" borderId="0" xfId="0" applyFill="1" applyAlignment="1">
      <alignment horizontal="left"/>
    </xf>
    <xf numFmtId="164" fontId="0" fillId="6" borderId="0" xfId="1" applyNumberFormat="1" applyFont="1" applyFill="1"/>
    <xf numFmtId="165" fontId="0" fillId="6" borderId="0" xfId="0" applyNumberFormat="1" applyFill="1"/>
  </cellXfs>
  <cellStyles count="3">
    <cellStyle name="Normal" xfId="0" builtinId="0"/>
    <cellStyle name="Título 1" xfId="2" builtinId="16"/>
    <cellStyle name="Vírgula" xfId="1" builtinId="3"/>
  </cellStyles>
  <dxfs count="228">
    <dxf>
      <numFmt numFmtId="166" formatCode="_-* #,##0.0_-;\-* #,##0.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35" formatCode="_-* #,##0.00_-;\-* #,##0.0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35" formatCode="_-* #,##0.00_-;\-* #,##0.0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pivotCacheDefinition" Target="pivotCache/pivotCacheDefinition1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schemas.microsoft.com/office/2007/relationships/slicerCache" Target="slicerCaches/slicerCache4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schemas.microsoft.com/office/2007/relationships/slicerCache" Target="slicerCaches/slicerCache3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schemas.microsoft.com/office/2007/relationships/slicerCache" Target="slicerCaches/slicerCache2.xml"/><Relationship Id="rId4" Type="http://purl.oclc.org/ooxml/officeDocument/relationships/worksheet" Target="worksheets/sheet4.xml"/><Relationship Id="rId9" Type="http://schemas.microsoft.com/office/2007/relationships/slicerCache" Target="slicerCaches/slicerCache1.xml"/><Relationship Id="rId1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%">
                <a:solidFill>
                  <a:schemeClr val="lt1">
                    <a:lumMod val="95%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%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Vendas Cliente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%">
              <a:solidFill>
                <a:schemeClr val="lt1">
                  <a:lumMod val="95%"/>
                </a:schemeClr>
              </a:solidFill>
              <a:effectLst>
                <a:outerShdw blurRad="50800" dist="38100" dir="5400000" algn="t" rotWithShape="0">
                  <a:prstClr val="black">
                    <a:alpha val="40%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Dinamica'!$A$4:$A$9</c:f>
              <c:strCache>
                <c:ptCount val="5"/>
                <c:pt idx="0">
                  <c:v>Alice</c:v>
                </c:pt>
                <c:pt idx="1">
                  <c:v>Bruna</c:v>
                </c:pt>
                <c:pt idx="2">
                  <c:v>Elaine</c:v>
                </c:pt>
                <c:pt idx="3">
                  <c:v>Kleiton</c:v>
                </c:pt>
                <c:pt idx="4">
                  <c:v>Lais</c:v>
                </c:pt>
              </c:strCache>
            </c:strRef>
          </c:cat>
          <c:val>
            <c:numRef>
              <c:f>'Tabela Dinamica'!$B$4:$B$9</c:f>
              <c:numCache>
                <c:formatCode>_-[$R$-416]\ * #,##0.00_-;\-[$R$-416]\ * #,##0.00_-;_-[$R$-416]\ * "-"??_-;_-@_-</c:formatCode>
                <c:ptCount val="5"/>
                <c:pt idx="0">
                  <c:v>5400</c:v>
                </c:pt>
                <c:pt idx="1">
                  <c:v>4000</c:v>
                </c:pt>
                <c:pt idx="2">
                  <c:v>4400</c:v>
                </c:pt>
                <c:pt idx="3">
                  <c:v>6000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C-4590-96FE-23C6BBB73F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47475904"/>
        <c:axId val="1047474464"/>
      </c:barChart>
      <c:catAx>
        <c:axId val="10474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%"/>
                <a:alpha val="54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74464"/>
        <c:crosses val="autoZero"/>
        <c:auto val="1"/>
        <c:lblAlgn val="ctr"/>
        <c:lblOffset val="100"/>
        <c:noMultiLvlLbl val="0"/>
      </c:catAx>
      <c:valAx>
        <c:axId val="104747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Mês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%">
                  <a:solidFill>
                    <a:schemeClr val="tx1">
                      <a:lumMod val="50%"/>
                      <a:lumOff val="50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'Tabela Dinamica'!$F$4:$F$16</c:f>
              <c:numCache>
                <c:formatCode>_-[$R$-416]\ * #,##0.00_-;\-[$R$-416]\ * #,##0.00_-;_-[$R$-416]\ * "-"??_-;_-@_-</c:formatCode>
                <c:ptCount val="12"/>
                <c:pt idx="0">
                  <c:v>5100</c:v>
                </c:pt>
                <c:pt idx="1">
                  <c:v>5190</c:v>
                </c:pt>
                <c:pt idx="2">
                  <c:v>4800</c:v>
                </c:pt>
                <c:pt idx="3">
                  <c:v>3280</c:v>
                </c:pt>
                <c:pt idx="4">
                  <c:v>7650</c:v>
                </c:pt>
                <c:pt idx="5">
                  <c:v>4480</c:v>
                </c:pt>
                <c:pt idx="6">
                  <c:v>7200</c:v>
                </c:pt>
                <c:pt idx="7">
                  <c:v>1600</c:v>
                </c:pt>
                <c:pt idx="8">
                  <c:v>3240</c:v>
                </c:pt>
                <c:pt idx="9">
                  <c:v>6000</c:v>
                </c:pt>
                <c:pt idx="10">
                  <c:v>4550</c:v>
                </c:pt>
                <c:pt idx="1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865-AED5-860FF386BA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90131296"/>
        <c:axId val="1290134176"/>
      </c:barChart>
      <c:catAx>
        <c:axId val="129013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34176"/>
        <c:crosses val="autoZero"/>
        <c:auto val="1"/>
        <c:lblAlgn val="ctr"/>
        <c:lblOffset val="100"/>
        <c:noMultiLvlLbl val="0"/>
      </c:catAx>
      <c:valAx>
        <c:axId val="1290134176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29013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dinâmica8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Dinamica'!$N$3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Dinamica'!$M$4:$M$9</c:f>
              <c:strCache>
                <c:ptCount val="5"/>
                <c:pt idx="0">
                  <c:v>Mouse</c:v>
                </c:pt>
                <c:pt idx="1">
                  <c:v>Placa de Video</c:v>
                </c:pt>
                <c:pt idx="2">
                  <c:v>PlacaMae</c:v>
                </c:pt>
                <c:pt idx="3">
                  <c:v>Processador</c:v>
                </c:pt>
                <c:pt idx="4">
                  <c:v>Teclado</c:v>
                </c:pt>
              </c:strCache>
            </c:strRef>
          </c:cat>
          <c:val>
            <c:numRef>
              <c:f>'Tabela Dinamica'!$N$4:$N$9</c:f>
              <c:numCache>
                <c:formatCode>_-[$R$-416]\ * #,##0.00_-;\-[$R$-416]\ * #,##0.00_-;_-[$R$-416]\ * "-"??_-;_-@_-</c:formatCode>
                <c:ptCount val="5"/>
                <c:pt idx="0">
                  <c:v>4620</c:v>
                </c:pt>
                <c:pt idx="1">
                  <c:v>7300</c:v>
                </c:pt>
                <c:pt idx="2">
                  <c:v>12400</c:v>
                </c:pt>
                <c:pt idx="3">
                  <c:v>9000</c:v>
                </c:pt>
                <c:pt idx="4">
                  <c:v>9290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F-4292-9CCB-3FC53CFE02F0}"/>
            </c:ext>
          </c:extLst>
        </c:ser>
        <c:ser>
          <c:idx val="1"/>
          <c:order val="1"/>
          <c:tx>
            <c:strRef>
              <c:f>'Tabela Dinamica'!$O$3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 Dinamica'!$M$4:$M$9</c:f>
              <c:strCache>
                <c:ptCount val="5"/>
                <c:pt idx="0">
                  <c:v>Mouse</c:v>
                </c:pt>
                <c:pt idx="1">
                  <c:v>Placa de Video</c:v>
                </c:pt>
                <c:pt idx="2">
                  <c:v>PlacaMae</c:v>
                </c:pt>
                <c:pt idx="3">
                  <c:v>Processador</c:v>
                </c:pt>
                <c:pt idx="4">
                  <c:v>Teclado</c:v>
                </c:pt>
              </c:strCache>
            </c:strRef>
          </c:cat>
          <c:val>
            <c:numRef>
              <c:f>'Tabela Dinamica'!$O$4:$O$9</c:f>
              <c:numCache>
                <c:formatCode>_-* #,##0_-;\-* #,##0_-;_-* "-"??_-;_-@_-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11</c:v>
                </c:pt>
                <c:pt idx="3">
                  <c:v>8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1-4FC8-B516-45E72DE04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463568"/>
        <c:axId val="1159462608"/>
      </c:barChart>
      <c:catAx>
        <c:axId val="11594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62608"/>
        <c:crosses val="autoZero"/>
        <c:auto val="1"/>
        <c:lblAlgn val="ctr"/>
        <c:lblOffset val="100"/>
        <c:noMultiLvlLbl val="0"/>
      </c:catAx>
      <c:valAx>
        <c:axId val="115946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>
              <a:lumMod val="60%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83-4884-B2AD-A5BE1E64F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83-4884-B2AD-A5BE1E64F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83-4884-B2AD-A5BE1E64F5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83-4884-B2AD-A5BE1E64F5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83-4884-B2AD-A5BE1E64F5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83-4884-B2AD-A5BE1E64F5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%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83-4884-B2AD-A5BE1E64F5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Dinamica'!$H$4:$H$11</c:f>
              <c:strCache>
                <c:ptCount val="7"/>
                <c:pt idx="0">
                  <c:v>BA</c:v>
                </c:pt>
                <c:pt idx="1">
                  <c:v>DF</c:v>
                </c:pt>
                <c:pt idx="2">
                  <c:v>ES</c:v>
                </c:pt>
                <c:pt idx="3">
                  <c:v>MA</c:v>
                </c:pt>
                <c:pt idx="4">
                  <c:v>MG</c:v>
                </c:pt>
                <c:pt idx="5">
                  <c:v>RJ</c:v>
                </c:pt>
                <c:pt idx="6">
                  <c:v>SP</c:v>
                </c:pt>
              </c:strCache>
            </c:strRef>
          </c:cat>
          <c:val>
            <c:numRef>
              <c:f>'Tabela Dinamica'!$I$4:$I$11</c:f>
              <c:numCache>
                <c:formatCode>_-[$R$-416]\ * #,##0.00_-;\-[$R$-416]\ * #,##0.00_-;_-[$R$-416]\ * "-"??_-;_-@_-</c:formatCode>
                <c:ptCount val="7"/>
                <c:pt idx="0">
                  <c:v>5900</c:v>
                </c:pt>
                <c:pt idx="1">
                  <c:v>8430</c:v>
                </c:pt>
                <c:pt idx="2">
                  <c:v>14100</c:v>
                </c:pt>
                <c:pt idx="3">
                  <c:v>4150</c:v>
                </c:pt>
                <c:pt idx="4">
                  <c:v>7790</c:v>
                </c:pt>
                <c:pt idx="5">
                  <c:v>6020</c:v>
                </c:pt>
                <c:pt idx="6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83-4884-B2AD-A5BE1E64F5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dinâmica6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%">
                <a:gradFill>
                  <a:gsLst>
                    <a:gs pos="0%">
                      <a:schemeClr val="dk1">
                        <a:lumMod val="50%"/>
                        <a:lumOff val="50%"/>
                      </a:schemeClr>
                    </a:gs>
                    <a:gs pos="100%">
                      <a:schemeClr val="dk1">
                        <a:lumMod val="85%"/>
                        <a:lumOff val="15%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evolução</a:t>
            </a:r>
            <a:r>
              <a:rPr lang="en-US" baseline="0%"/>
              <a:t> das 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%">
              <a:gradFill>
                <a:gsLst>
                  <a:gs pos="0%">
                    <a:schemeClr val="dk1">
                      <a:lumMod val="50%"/>
                      <a:lumOff val="50%"/>
                    </a:schemeClr>
                  </a:gs>
                  <a:gs pos="100%">
                    <a:schemeClr val="dk1">
                      <a:lumMod val="85%"/>
                      <a:lumOff val="15%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%"/>
                <a:satMod val="105%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%"/>
                <a:satMod val="105%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 cmpd="sng" algn="ctr">
            <a:solidFill>
              <a:schemeClr val="accent1">
                <a:shade val="95%"/>
                <a:satMod val="105%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 cmpd="sng" algn="ctr">
            <a:solidFill>
              <a:schemeClr val="accent1">
                <a:shade val="95%"/>
                <a:satMod val="105%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Dinamica'!$F$3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%"/>
                  <a:satMod val="105%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'Tabela Dinamica'!$F$4:$F$16</c:f>
              <c:numCache>
                <c:formatCode>_-[$R$-416]\ * #,##0.00_-;\-[$R$-416]\ * #,##0.00_-;_-[$R$-416]\ * "-"??_-;_-@_-</c:formatCode>
                <c:ptCount val="12"/>
                <c:pt idx="0">
                  <c:v>5100</c:v>
                </c:pt>
                <c:pt idx="1">
                  <c:v>5190</c:v>
                </c:pt>
                <c:pt idx="2">
                  <c:v>4800</c:v>
                </c:pt>
                <c:pt idx="3">
                  <c:v>3280</c:v>
                </c:pt>
                <c:pt idx="4">
                  <c:v>7650</c:v>
                </c:pt>
                <c:pt idx="5">
                  <c:v>4480</c:v>
                </c:pt>
                <c:pt idx="6">
                  <c:v>7200</c:v>
                </c:pt>
                <c:pt idx="7">
                  <c:v>1600</c:v>
                </c:pt>
                <c:pt idx="8">
                  <c:v>3240</c:v>
                </c:pt>
                <c:pt idx="9">
                  <c:v>6000</c:v>
                </c:pt>
                <c:pt idx="10">
                  <c:v>4550</c:v>
                </c:pt>
                <c:pt idx="11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A-4F35-9763-ECA47AC5FD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0409776"/>
        <c:axId val="1270402096"/>
      </c:lineChart>
      <c:catAx>
        <c:axId val="127040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02096"/>
        <c:crosses val="autoZero"/>
        <c:auto val="1"/>
        <c:lblAlgn val="ctr"/>
        <c:lblOffset val="100"/>
        <c:noMultiLvlLbl val="0"/>
      </c:catAx>
      <c:valAx>
        <c:axId val="1270402096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27040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dk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dinâmica8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MAIS VENDIDOS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Dinamica'!$N$3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Dinamica'!$M$4:$M$9</c:f>
              <c:strCache>
                <c:ptCount val="5"/>
                <c:pt idx="0">
                  <c:v>Mouse</c:v>
                </c:pt>
                <c:pt idx="1">
                  <c:v>Placa de Video</c:v>
                </c:pt>
                <c:pt idx="2">
                  <c:v>PlacaMae</c:v>
                </c:pt>
                <c:pt idx="3">
                  <c:v>Processador</c:v>
                </c:pt>
                <c:pt idx="4">
                  <c:v>Teclado</c:v>
                </c:pt>
              </c:strCache>
            </c:strRef>
          </c:cat>
          <c:val>
            <c:numRef>
              <c:f>'Tabela Dinamica'!$N$4:$N$9</c:f>
              <c:numCache>
                <c:formatCode>_-[$R$-416]\ * #,##0.00_-;\-[$R$-416]\ * #,##0.00_-;_-[$R$-416]\ * "-"??_-;_-@_-</c:formatCode>
                <c:ptCount val="5"/>
                <c:pt idx="0">
                  <c:v>4620</c:v>
                </c:pt>
                <c:pt idx="1">
                  <c:v>7300</c:v>
                </c:pt>
                <c:pt idx="2">
                  <c:v>12400</c:v>
                </c:pt>
                <c:pt idx="3">
                  <c:v>9000</c:v>
                </c:pt>
                <c:pt idx="4">
                  <c:v>9290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8-4AEA-8341-3E9BC455BE12}"/>
            </c:ext>
          </c:extLst>
        </c:ser>
        <c:ser>
          <c:idx val="1"/>
          <c:order val="1"/>
          <c:tx>
            <c:strRef>
              <c:f>'Tabela Dinamica'!$O$3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Dinamica'!$M$4:$M$9</c:f>
              <c:strCache>
                <c:ptCount val="5"/>
                <c:pt idx="0">
                  <c:v>Mouse</c:v>
                </c:pt>
                <c:pt idx="1">
                  <c:v>Placa de Video</c:v>
                </c:pt>
                <c:pt idx="2">
                  <c:v>PlacaMae</c:v>
                </c:pt>
                <c:pt idx="3">
                  <c:v>Processador</c:v>
                </c:pt>
                <c:pt idx="4">
                  <c:v>Teclado</c:v>
                </c:pt>
              </c:strCache>
            </c:strRef>
          </c:cat>
          <c:val>
            <c:numRef>
              <c:f>'Tabela Dinamica'!$O$4:$O$9</c:f>
              <c:numCache>
                <c:formatCode>_-* #,##0_-;\-* #,##0_-;_-* "-"??_-;_-@_-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11</c:v>
                </c:pt>
                <c:pt idx="3">
                  <c:v>8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045-B785-5665A872DC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5308736"/>
        <c:axId val="1165307296"/>
      </c:barChart>
      <c:catAx>
        <c:axId val="1165308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07296"/>
        <c:crosses val="autoZero"/>
        <c:auto val="1"/>
        <c:lblAlgn val="ctr"/>
        <c:lblOffset val="100"/>
        <c:noMultiLvlLbl val="0"/>
      </c:catAx>
      <c:valAx>
        <c:axId val="1165307296"/>
        <c:scaling>
          <c:orientation val="minMax"/>
        </c:scaling>
        <c:delete val="0"/>
        <c:axPos val="b"/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0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CLIENTES POR VALOR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1963408587407615E-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57217016266697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421143833441512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09950468314972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0995046831496371E-3"/>
              <c:y val="-1.490497209711344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21A-4AC1-B3FE-CDDC41341CB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21A-4AC1-B3FE-CDDC41341CB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21A-4AC1-B3FE-CDDC41341C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21A-4AC1-B3FE-CDDC41341CB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21A-4AC1-B3FE-CDDC41341CB4}"/>
              </c:ext>
            </c:extLst>
          </c:dPt>
          <c:dLbls>
            <c:dLbl>
              <c:idx val="0"/>
              <c:layout>
                <c:manualLayout>
                  <c:x val="7.0995046831496371E-3"/>
                  <c:y val="-1.490497209711344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A-4AC1-B3FE-CDDC41341CB4}"/>
                </c:ext>
              </c:extLst>
            </c:dLbl>
            <c:dLbl>
              <c:idx val="1"/>
              <c:layout>
                <c:manualLayout>
                  <c:x val="7.09950468314972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A-4AC1-B3FE-CDDC41341CB4}"/>
                </c:ext>
              </c:extLst>
            </c:dLbl>
            <c:dLbl>
              <c:idx val="2"/>
              <c:layout>
                <c:manualLayout>
                  <c:x val="2.421143833441512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A-4AC1-B3FE-CDDC41341CB4}"/>
                </c:ext>
              </c:extLst>
            </c:dLbl>
            <c:dLbl>
              <c:idx val="3"/>
              <c:layout>
                <c:manualLayout>
                  <c:x val="-2.25721701626669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A-4AC1-B3FE-CDDC41341CB4}"/>
                </c:ext>
              </c:extLst>
            </c:dLbl>
            <c:dLbl>
              <c:idx val="4"/>
              <c:layout>
                <c:manualLayout>
                  <c:x val="8.1963408587407615E-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A-4AC1-B3FE-CDDC41341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Dinamica'!$A$4:$A$9</c:f>
              <c:strCache>
                <c:ptCount val="5"/>
                <c:pt idx="0">
                  <c:v>Alice</c:v>
                </c:pt>
                <c:pt idx="1">
                  <c:v>Bruna</c:v>
                </c:pt>
                <c:pt idx="2">
                  <c:v>Elaine</c:v>
                </c:pt>
                <c:pt idx="3">
                  <c:v>Kleiton</c:v>
                </c:pt>
                <c:pt idx="4">
                  <c:v>Lais</c:v>
                </c:pt>
              </c:strCache>
            </c:strRef>
          </c:cat>
          <c:val>
            <c:numRef>
              <c:f>'Tabela Dinamica'!$B$4:$B$9</c:f>
              <c:numCache>
                <c:formatCode>_-[$R$-416]\ * #,##0.00_-;\-[$R$-416]\ * #,##0.00_-;_-[$R$-416]\ * "-"??_-;_-@_-</c:formatCode>
                <c:ptCount val="5"/>
                <c:pt idx="0">
                  <c:v>5400</c:v>
                </c:pt>
                <c:pt idx="1">
                  <c:v>4000</c:v>
                </c:pt>
                <c:pt idx="2">
                  <c:v>4400</c:v>
                </c:pt>
                <c:pt idx="3">
                  <c:v>6000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A-4AC1-B3FE-CDDC41341C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42386944"/>
        <c:axId val="1242391264"/>
      </c:barChart>
      <c:catAx>
        <c:axId val="124238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91264"/>
        <c:crosses val="autoZero"/>
        <c:auto val="1"/>
        <c:lblAlgn val="ctr"/>
        <c:lblOffset val="100"/>
        <c:noMultiLvlLbl val="0"/>
      </c:catAx>
      <c:valAx>
        <c:axId val="124239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Dinamica!Tabela dinâmica7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ESTADO</a:t>
            </a:r>
          </a:p>
        </c:rich>
      </c:tx>
      <c:layout>
        <c:manualLayout>
          <c:xMode val="edge"/>
          <c:yMode val="edge"/>
          <c:x val="0.3015207786526684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6.1111111111111109E-2"/>
              <c:y val="-5.555555555555555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8.611111111111111E-2"/>
              <c:y val="4.6296296296296294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2.7777777777777728E-2"/>
              <c:y val="0.1064814814814814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9.9999999999999992E-2"/>
              <c:y val="4.6296296296295444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4.166666666666672E-2"/>
              <c:y val="-7.8703703703703706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6.6666666666666666E-2"/>
              <c:y val="2.314814814814814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8.8888888888888892E-2"/>
              <c:y val="-4.6296296296296294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0B-43BD-BB05-BE69877D2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0B-43BD-BB05-BE69877D2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0B-43BD-BB05-BE69877D27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0B-43BD-BB05-BE69877D27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0B-43BD-BB05-BE69877D27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0B-43BD-BB05-BE69877D27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%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D60B-43BD-BB05-BE69877D27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Dinamica'!$H$4:$H$11</c:f>
              <c:strCache>
                <c:ptCount val="7"/>
                <c:pt idx="0">
                  <c:v>BA</c:v>
                </c:pt>
                <c:pt idx="1">
                  <c:v>DF</c:v>
                </c:pt>
                <c:pt idx="2">
                  <c:v>ES</c:v>
                </c:pt>
                <c:pt idx="3">
                  <c:v>MA</c:v>
                </c:pt>
                <c:pt idx="4">
                  <c:v>MG</c:v>
                </c:pt>
                <c:pt idx="5">
                  <c:v>RJ</c:v>
                </c:pt>
                <c:pt idx="6">
                  <c:v>SP</c:v>
                </c:pt>
              </c:strCache>
            </c:strRef>
          </c:cat>
          <c:val>
            <c:numRef>
              <c:f>'Tabela Dinamica'!$I$4:$I$11</c:f>
              <c:numCache>
                <c:formatCode>_-[$R$-416]\ * #,##0.00_-;\-[$R$-416]\ * #,##0.00_-;_-[$R$-416]\ * "-"??_-;_-@_-</c:formatCode>
                <c:ptCount val="7"/>
                <c:pt idx="0">
                  <c:v>5900</c:v>
                </c:pt>
                <c:pt idx="1">
                  <c:v>8430</c:v>
                </c:pt>
                <c:pt idx="2">
                  <c:v>14100</c:v>
                </c:pt>
                <c:pt idx="3">
                  <c:v>4150</c:v>
                </c:pt>
                <c:pt idx="4">
                  <c:v>7790</c:v>
                </c:pt>
                <c:pt idx="5">
                  <c:v>6020</c:v>
                </c:pt>
                <c:pt idx="6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0B-43BD-BB05-BE69877D279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2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20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800" b="0" i="0" u="none" strike="noStrike" kern="1200" baseline="0%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34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%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 w="9575">
        <a:solidFill>
          <a:schemeClr val="lt1">
            <a:lumMod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%"/>
            <a:satMod val="105%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dk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%"/>
            <a:lumOff val="85%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%">
      <a:gradFill>
        <a:gsLst>
          <a:gs pos="0%">
            <a:schemeClr val="dk1">
              <a:lumMod val="50%"/>
              <a:lumOff val="50%"/>
            </a:schemeClr>
          </a:gs>
          <a:gs pos="100%">
            <a:schemeClr val="dk1">
              <a:lumMod val="85%"/>
              <a:lumOff val="15%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%"/>
            <a:lumOff val="50%"/>
          </a:schemeClr>
        </a:solidFill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purl.oclc.org/ooxml/officeDocument/relationships/chart" Target="../charts/chart7.xml"/><Relationship Id="rId2" Type="http://purl.oclc.org/ooxml/officeDocument/relationships/chart" Target="../charts/chart6.xml"/><Relationship Id="rId1" Type="http://purl.oclc.org/ooxml/officeDocument/relationships/chart" Target="../charts/chart5.xml"/><Relationship Id="rId6" Type="http://purl.oclc.org/ooxml/officeDocument/relationships/image" Target="../media/image2.svg"/><Relationship Id="rId5" Type="http://purl.oclc.org/ooxml/officeDocument/relationships/image" Target="../media/image1.png"/><Relationship Id="rId4" Type="http://purl.oclc.org/ooxml/officeDocument/relationships/chart" Target="../charts/chart8.xml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3</xdr:col>
      <xdr:colOff>257173</xdr:colOff>
      <xdr:row>1</xdr:row>
      <xdr:rowOff>104775</xdr:rowOff>
    </xdr:from>
    <xdr:to>
      <xdr:col>14</xdr:col>
      <xdr:colOff>219075</xdr:colOff>
      <xdr:row>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e">
              <a:extLst>
                <a:ext uri="{FF2B5EF4-FFF2-40B4-BE49-F238E27FC236}">
                  <a16:creationId xmlns:a16="http://schemas.microsoft.com/office/drawing/2014/main" id="{55628789-F268-46E6-AABC-D53FF7E10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 xmlns:xdr="http://schemas.openxmlformats.org/drawingml/2006/spreadsheetDrawing" xmlns:a="http://schemas.openxmlformats.org/drawingml/2006/main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5998" y="295275"/>
              <a:ext cx="6667502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219074</xdr:colOff>
      <xdr:row>8</xdr:row>
      <xdr:rowOff>171450</xdr:rowOff>
    </xdr:from>
    <xdr:to>
      <xdr:col>14</xdr:col>
      <xdr:colOff>133349</xdr:colOff>
      <xdr:row>30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99D919-91DD-4B44-8644-B4C8EE4D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142875</xdr:colOff>
      <xdr:row>1</xdr:row>
      <xdr:rowOff>66674</xdr:rowOff>
    </xdr:from>
    <xdr:to>
      <xdr:col>15</xdr:col>
      <xdr:colOff>180975</xdr:colOff>
      <xdr:row>17</xdr:row>
      <xdr:rowOff>76199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BA8EB8-36D0-4CE8-9CC9-3EF9EF5DC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6</xdr:col>
      <xdr:colOff>447674</xdr:colOff>
      <xdr:row>2</xdr:row>
      <xdr:rowOff>85724</xdr:rowOff>
    </xdr:from>
    <xdr:to>
      <xdr:col>16</xdr:col>
      <xdr:colOff>361950</xdr:colOff>
      <xdr:row>23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D9A763-FBA4-4A21-9D37-79C5A4ADD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1</xdr:col>
      <xdr:colOff>66674</xdr:colOff>
      <xdr:row>1</xdr:row>
      <xdr:rowOff>57150</xdr:rowOff>
    </xdr:from>
    <xdr:to>
      <xdr:col>3</xdr:col>
      <xdr:colOff>1276350</xdr:colOff>
      <xdr:row>11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4B744302-4BDC-43BE-87A3-2A15D5BEB8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4" y="247650"/>
              <a:ext cx="3810001" cy="202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4</xdr:col>
      <xdr:colOff>123824</xdr:colOff>
      <xdr:row>0</xdr:row>
      <xdr:rowOff>152399</xdr:rowOff>
    </xdr:from>
    <xdr:to>
      <xdr:col>14</xdr:col>
      <xdr:colOff>495300</xdr:colOff>
      <xdr:row>21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DC91FB-7E14-426C-82A2-BC486AAE2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 editAs="absolute">
    <xdr:from>
      <xdr:col>1</xdr:col>
      <xdr:colOff>114302</xdr:colOff>
      <xdr:row>6</xdr:row>
      <xdr:rowOff>104775</xdr:rowOff>
    </xdr:from>
    <xdr:to>
      <xdr:col>9</xdr:col>
      <xdr:colOff>590550</xdr:colOff>
      <xdr:row>23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358DE8-E04E-4FDD-8C0B-2AC89F5A6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absolute">
    <xdr:from>
      <xdr:col>1</xdr:col>
      <xdr:colOff>104773</xdr:colOff>
      <xdr:row>24</xdr:row>
      <xdr:rowOff>38100</xdr:rowOff>
    </xdr:from>
    <xdr:to>
      <xdr:col>12</xdr:col>
      <xdr:colOff>409575</xdr:colOff>
      <xdr:row>38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F5C27C7-D2CE-4EA8-9E4A-F6575BC1D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absolute">
    <xdr:from>
      <xdr:col>10</xdr:col>
      <xdr:colOff>57149</xdr:colOff>
      <xdr:row>6</xdr:row>
      <xdr:rowOff>228600</xdr:rowOff>
    </xdr:from>
    <xdr:to>
      <xdr:col>19</xdr:col>
      <xdr:colOff>1</xdr:colOff>
      <xdr:row>23</xdr:row>
      <xdr:rowOff>28576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D611181-035C-42A9-AB18-A1211C3CB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 editAs="absolute">
    <xdr:from>
      <xdr:col>12</xdr:col>
      <xdr:colOff>523875</xdr:colOff>
      <xdr:row>24</xdr:row>
      <xdr:rowOff>28575</xdr:rowOff>
    </xdr:from>
    <xdr:to>
      <xdr:col>20</xdr:col>
      <xdr:colOff>219075</xdr:colOff>
      <xdr:row>38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FC4567-FEBD-4818-AC21-75BE5C987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 editAs="absolute">
    <xdr:from>
      <xdr:col>12</xdr:col>
      <xdr:colOff>257174</xdr:colOff>
      <xdr:row>2</xdr:row>
      <xdr:rowOff>152400</xdr:rowOff>
    </xdr:from>
    <xdr:to>
      <xdr:col>18</xdr:col>
      <xdr:colOff>523875</xdr:colOff>
      <xdr:row>6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stado">
              <a:extLst>
                <a:ext uri="{FF2B5EF4-FFF2-40B4-BE49-F238E27FC236}">
                  <a16:creationId xmlns:a16="http://schemas.microsoft.com/office/drawing/2014/main" id="{40B5FF4D-4DA0-4B12-8B2D-3A7EC52268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6399" y="676275"/>
              <a:ext cx="3924301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85725</xdr:colOff>
      <xdr:row>0</xdr:row>
      <xdr:rowOff>123826</xdr:rowOff>
    </xdr:from>
    <xdr:to>
      <xdr:col>22</xdr:col>
      <xdr:colOff>276226</xdr:colOff>
      <xdr:row>11</xdr:row>
      <xdr:rowOff>19051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Meses (data)">
              <a:extLst>
                <a:ext uri="{FF2B5EF4-FFF2-40B4-BE49-F238E27FC236}">
                  <a16:creationId xmlns:a16="http://schemas.microsoft.com/office/drawing/2014/main" id="{1563BA2A-12F5-479C-A477-2066C7EE85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2150" y="123826"/>
              <a:ext cx="2019301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476250</xdr:colOff>
      <xdr:row>39</xdr:row>
      <xdr:rowOff>247650</xdr:rowOff>
    </xdr:from>
    <xdr:to>
      <xdr:col>19</xdr:col>
      <xdr:colOff>171450</xdr:colOff>
      <xdr:row>43</xdr:row>
      <xdr:rowOff>228600</xdr:rowOff>
    </xdr:to>
    <xdr:pic>
      <xdr:nvPicPr>
        <xdr:cNvPr id="13" name="Gráfico 12" descr="Gráfico de barras com tendência ascendente com preenchimento sólido">
          <a:extLst>
            <a:ext uri="{FF2B5EF4-FFF2-40B4-BE49-F238E27FC236}">
              <a16:creationId xmlns:a16="http://schemas.microsoft.com/office/drawing/2014/main" id="{EFCC2178-422C-0455-346A-240F7967059F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487275" y="8124825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Felipe Reus" refreshedDateIso="2026-04-26T19:57:34.76899982895701850" createdVersion="8" refreshedVersion="8" minRefreshableVersion="3" recordCount="30" xr:uid="{FD75A2D8-6FFC-4FAD-89A3-EF1F168A910B}">
  <cacheSource type="worksheet">
    <worksheetSource name="Tabela2"/>
  </cacheSource>
  <cacheFields count="10">
    <cacheField name="id_venda" numFmtId="0">
      <sharedItems containsSemiMixedTypes="0" containsString="0" containsNumber="1" containsInteger="1" minValue="1" maxValue="30"/>
    </cacheField>
    <cacheField name="cliente" numFmtId="0">
      <sharedItems count="30">
        <s v="Joao"/>
        <s v="Maria"/>
        <s v="Felipe"/>
        <s v="Marcos"/>
        <s v="Ana"/>
        <s v="Carlos"/>
        <s v="Melissa"/>
        <s v="Carolina"/>
        <s v="Pamela"/>
        <s v="Thamires"/>
        <s v="Claudio"/>
        <s v="Alexandre"/>
        <s v="Fernando"/>
        <s v="Marcela"/>
        <s v="Marcelle"/>
        <s v="Philipe"/>
        <s v="Wallace"/>
        <s v="Otavio"/>
        <s v="Kleiton"/>
        <s v="Elaine"/>
        <s v="Alice"/>
        <s v="Bruna"/>
        <s v="Emerson"/>
        <s v="Arthur"/>
        <s v="Mayara"/>
        <s v="Raquel"/>
        <s v="Vandro"/>
        <s v="Anderson"/>
        <s v="Lais"/>
        <s v="Luana"/>
      </sharedItems>
    </cacheField>
    <cacheField name="data" numFmtId="14">
      <sharedItems containsSemiMixedTypes="0" containsNonDate="0" containsDate="1" containsString="0" minDate="2024-01-10T00:00:00" maxDate="2024-12-11T00:00:00" count="30">
        <d v="2024-01-10T00:00:00"/>
        <d v="2024-01-12T00:00:00"/>
        <d v="2024-02-27T00:00:00"/>
        <d v="2024-02-10T00:00:00"/>
        <d v="2024-03-23T00:00:00"/>
        <d v="2024-04-15T00:00:00"/>
        <d v="2024-05-13T00:00:00"/>
        <d v="2024-06-10T00:00:00"/>
        <d v="2024-12-10T00:00:00"/>
        <d v="2024-11-10T00:00:00"/>
        <d v="2024-02-16T00:00:00"/>
        <d v="2024-07-13T00:00:00"/>
        <d v="2024-08-16T00:00:00"/>
        <d v="2024-03-11T00:00:00"/>
        <d v="2024-05-10T00:00:00"/>
        <d v="2024-09-21T00:00:00"/>
        <d v="2024-06-23T00:00:00"/>
        <d v="2024-06-17T00:00:00"/>
        <d v="2024-10-10T00:00:00"/>
        <d v="2024-01-26T00:00:00"/>
        <d v="2024-05-12T00:00:00"/>
        <d v="2024-07-11T00:00:00"/>
        <d v="2024-09-10T00:00:00"/>
        <d v="2024-02-12T00:00:00"/>
        <d v="2024-02-21T00:00:00"/>
        <d v="2024-08-29T00:00:00"/>
        <d v="2024-11-30T00:00:00"/>
        <d v="2024-04-25T00:00:00"/>
        <d v="2024-03-28T00:00:00"/>
        <d v="2024-09-11T00:00:00"/>
      </sharedItems>
      <fieldGroup par="9"/>
    </cacheField>
    <cacheField name="preço unitário" numFmtId="164">
      <sharedItems containsSemiMixedTypes="0" containsString="0" containsNumber="1" containsInteger="1" minValue="100" maxValue="2200"/>
    </cacheField>
    <cacheField name="produto" numFmtId="0">
      <sharedItems count="10">
        <s v="Mouse"/>
        <s v="Teclado"/>
        <s v="Headset"/>
        <s v="Monitor"/>
        <s v="MousePad"/>
        <s v="Processador"/>
        <s v="Placa de Video"/>
        <s v="PlacaMae"/>
        <s v="Headphone"/>
        <s v="MemoriaRam"/>
      </sharedItems>
    </cacheField>
    <cacheField name="estado" numFmtId="0">
      <sharedItems count="7">
        <s v="SP"/>
        <s v="RJ"/>
        <s v="MG"/>
        <s v="ES"/>
        <s v="DF"/>
        <s v="BA"/>
        <s v="MA"/>
      </sharedItems>
    </cacheField>
    <cacheField name="quantidade" numFmtId="0">
      <sharedItems containsSemiMixedTypes="0" containsString="0" containsNumber="1" containsInteger="1" minValue="1" maxValue="6" count="6">
        <n v="3"/>
        <n v="2"/>
        <n v="5"/>
        <n v="1"/>
        <n v="4"/>
        <n v="6"/>
      </sharedItems>
    </cacheField>
    <cacheField name="faturamento" numFmtId="164">
      <sharedItems containsSemiMixedTypes="0" containsString="0" containsNumber="1" containsInteger="1" minValue="250" maxValue="6000" count="24">
        <n v="300"/>
        <n v="400"/>
        <n v="750"/>
        <n v="600"/>
        <n v="250"/>
        <n v="480"/>
        <n v="900"/>
        <n v="1200"/>
        <n v="1800"/>
        <n v="1300"/>
        <n v="3200"/>
        <n v="1350"/>
        <n v="1920"/>
        <n v="2080"/>
        <n v="6000"/>
        <n v="4400"/>
        <n v="5400"/>
        <n v="4000"/>
        <n v="500"/>
        <n v="2040"/>
        <n v="2750"/>
        <n v="2800"/>
        <n v="3800"/>
        <n v="720"/>
      </sharedItems>
    </cacheField>
    <cacheField name="Dias (data)" numFmtId="0" databaseField="0">
      <fieldGroup base="2">
        <rangePr groupBy="days" startDate="2024-01-10T00:00:00" endDate="2024-12-11T00:00:00"/>
        <groupItems count="368">
          <s v="&lt;10/0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2/2024"/>
        </groupItems>
      </fieldGroup>
    </cacheField>
    <cacheField name="Meses (data)" numFmtId="0" databaseField="0">
      <fieldGroup base="2">
        <rangePr groupBy="months" startDate="2024-01-10T00:00:00" endDate="2024-12-11T00:00:00"/>
        <groupItems count="14">
          <s v="&lt;10/01/2024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1/12/2024"/>
        </groupItems>
      </fieldGroup>
    </cacheField>
  </cacheFields>
  <extLst>
    <ext xmlns:x14="http://schemas.microsoft.com/office/spreadsheetml/2009/9/main" uri="{725AE2AE-9491-48be-B2B4-4EB974FC3084}">
      <x14:pivotCacheDefinition pivotCacheId="819845626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30">
  <r>
    <n v="1"/>
    <x v="0"/>
    <x v="0"/>
    <n v="100"/>
    <x v="0"/>
    <x v="0"/>
    <x v="0"/>
    <x v="0"/>
  </r>
  <r>
    <n v="2"/>
    <x v="1"/>
    <x v="1"/>
    <n v="200"/>
    <x v="1"/>
    <x v="1"/>
    <x v="1"/>
    <x v="1"/>
  </r>
  <r>
    <n v="3"/>
    <x v="2"/>
    <x v="2"/>
    <n v="150"/>
    <x v="2"/>
    <x v="2"/>
    <x v="2"/>
    <x v="2"/>
  </r>
  <r>
    <n v="4"/>
    <x v="3"/>
    <x v="3"/>
    <n v="300"/>
    <x v="3"/>
    <x v="3"/>
    <x v="1"/>
    <x v="3"/>
  </r>
  <r>
    <n v="5"/>
    <x v="4"/>
    <x v="4"/>
    <n v="250"/>
    <x v="0"/>
    <x v="0"/>
    <x v="3"/>
    <x v="4"/>
  </r>
  <r>
    <n v="6"/>
    <x v="5"/>
    <x v="5"/>
    <n v="120"/>
    <x v="4"/>
    <x v="4"/>
    <x v="4"/>
    <x v="5"/>
  </r>
  <r>
    <n v="7"/>
    <x v="6"/>
    <x v="6"/>
    <n v="150"/>
    <x v="1"/>
    <x v="1"/>
    <x v="5"/>
    <x v="6"/>
  </r>
  <r>
    <n v="8"/>
    <x v="7"/>
    <x v="7"/>
    <n v="200"/>
    <x v="1"/>
    <x v="0"/>
    <x v="0"/>
    <x v="3"/>
  </r>
  <r>
    <n v="9"/>
    <x v="8"/>
    <x v="8"/>
    <n v="300"/>
    <x v="3"/>
    <x v="3"/>
    <x v="4"/>
    <x v="7"/>
  </r>
  <r>
    <n v="10"/>
    <x v="9"/>
    <x v="9"/>
    <n v="900"/>
    <x v="5"/>
    <x v="4"/>
    <x v="1"/>
    <x v="8"/>
  </r>
  <r>
    <n v="11"/>
    <x v="10"/>
    <x v="10"/>
    <n v="1300"/>
    <x v="6"/>
    <x v="5"/>
    <x v="3"/>
    <x v="9"/>
  </r>
  <r>
    <n v="12"/>
    <x v="11"/>
    <x v="11"/>
    <n v="800"/>
    <x v="7"/>
    <x v="2"/>
    <x v="4"/>
    <x v="10"/>
  </r>
  <r>
    <n v="13"/>
    <x v="12"/>
    <x v="12"/>
    <n v="250"/>
    <x v="2"/>
    <x v="4"/>
    <x v="3"/>
    <x v="4"/>
  </r>
  <r>
    <n v="14"/>
    <x v="13"/>
    <x v="13"/>
    <n v="150"/>
    <x v="8"/>
    <x v="0"/>
    <x v="2"/>
    <x v="2"/>
  </r>
  <r>
    <n v="15"/>
    <x v="14"/>
    <x v="14"/>
    <n v="450"/>
    <x v="2"/>
    <x v="3"/>
    <x v="0"/>
    <x v="11"/>
  </r>
  <r>
    <n v="16"/>
    <x v="15"/>
    <x v="15"/>
    <n v="320"/>
    <x v="1"/>
    <x v="1"/>
    <x v="5"/>
    <x v="12"/>
  </r>
  <r>
    <n v="17"/>
    <x v="16"/>
    <x v="16"/>
    <n v="450"/>
    <x v="8"/>
    <x v="2"/>
    <x v="4"/>
    <x v="8"/>
  </r>
  <r>
    <n v="18"/>
    <x v="17"/>
    <x v="17"/>
    <n v="520"/>
    <x v="1"/>
    <x v="1"/>
    <x v="4"/>
    <x v="13"/>
  </r>
  <r>
    <n v="19"/>
    <x v="18"/>
    <x v="18"/>
    <n v="2000"/>
    <x v="6"/>
    <x v="0"/>
    <x v="0"/>
    <x v="14"/>
  </r>
  <r>
    <n v="20"/>
    <x v="19"/>
    <x v="19"/>
    <n v="2200"/>
    <x v="5"/>
    <x v="3"/>
    <x v="1"/>
    <x v="15"/>
  </r>
  <r>
    <n v="21"/>
    <x v="20"/>
    <x v="20"/>
    <n v="1800"/>
    <x v="7"/>
    <x v="4"/>
    <x v="0"/>
    <x v="16"/>
  </r>
  <r>
    <n v="22"/>
    <x v="21"/>
    <x v="21"/>
    <n v="1000"/>
    <x v="9"/>
    <x v="5"/>
    <x v="4"/>
    <x v="17"/>
  </r>
  <r>
    <n v="23"/>
    <x v="22"/>
    <x v="22"/>
    <n v="300"/>
    <x v="0"/>
    <x v="5"/>
    <x v="1"/>
    <x v="3"/>
  </r>
  <r>
    <n v="24"/>
    <x v="23"/>
    <x v="23"/>
    <n v="125"/>
    <x v="8"/>
    <x v="4"/>
    <x v="4"/>
    <x v="18"/>
  </r>
  <r>
    <n v="25"/>
    <x v="24"/>
    <x v="24"/>
    <n v="340"/>
    <x v="1"/>
    <x v="2"/>
    <x v="5"/>
    <x v="19"/>
  </r>
  <r>
    <n v="26"/>
    <x v="25"/>
    <x v="25"/>
    <n v="450"/>
    <x v="1"/>
    <x v="6"/>
    <x v="0"/>
    <x v="11"/>
  </r>
  <r>
    <n v="27"/>
    <x v="26"/>
    <x v="26"/>
    <n v="550"/>
    <x v="0"/>
    <x v="3"/>
    <x v="2"/>
    <x v="20"/>
  </r>
  <r>
    <n v="28"/>
    <x v="27"/>
    <x v="27"/>
    <n v="700"/>
    <x v="5"/>
    <x v="6"/>
    <x v="4"/>
    <x v="21"/>
  </r>
  <r>
    <n v="29"/>
    <x v="28"/>
    <x v="28"/>
    <n v="950"/>
    <x v="7"/>
    <x v="3"/>
    <x v="4"/>
    <x v="22"/>
  </r>
  <r>
    <n v="30"/>
    <x v="29"/>
    <x v="29"/>
    <n v="120"/>
    <x v="0"/>
    <x v="1"/>
    <x v="5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43A2823-6060-4E43-BE1B-2A7CC8943C2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M14:O25" firstHeaderRow="0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axis="axisRow"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dataField="1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7" baseField="0" baseItem="0"/>
    <dataField name="Soma de quantidade" fld="6" baseField="0" baseItem="0" numFmtId="165"/>
  </dataFields>
  <formats count="3">
    <format dxfId="140">
      <pivotArea outline="0" collapsedLevelsAreSubtotals="1" fieldPosition="0"/>
    </format>
    <format dxfId="141">
      <pivotArea dataOnly="0" labelOnly="1" outline="0" axis="axisValues" fieldPosition="0"/>
    </format>
    <format dxfId="1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1A38768-6731-4CE5-BE79-BB0F82175667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P3:R20" firstHeaderRow="1" firstDataRow="1" firstDataCol="0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formats count="2">
    <format dxfId="145">
      <pivotArea outline="0" collapsedLevelsAreSubtotals="1" fieldPosition="0"/>
    </format>
    <format dxfId="1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A2D0E18-840D-419F-9783-FD73FC61AF8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I17:J18" firstHeaderRow="0" firstDataRow="1" firstDataCol="0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dataField="1" showAll="0"/>
    <pivotField dataField="1" numFmtId="164" showAll="0">
      <items count="25">
        <item x="4"/>
        <item x="0"/>
        <item x="1"/>
        <item x="5"/>
        <item x="18"/>
        <item x="3"/>
        <item x="23"/>
        <item x="2"/>
        <item x="6"/>
        <item x="7"/>
        <item x="9"/>
        <item x="11"/>
        <item x="8"/>
        <item x="12"/>
        <item x="19"/>
        <item x="13"/>
        <item x="20"/>
        <item x="21"/>
        <item x="10"/>
        <item x="22"/>
        <item x="17"/>
        <item x="15"/>
        <item x="16"/>
        <item x="1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édia de faturamento" fld="7" subtotal="average" baseField="0" baseItem="1"/>
    <dataField name="Soma de quantidade" fld="6" baseField="0" baseItem="0" numFmtId="165"/>
  </dataFields>
  <formats count="3">
    <format dxfId="57">
      <pivotArea outline="0" collapsedLevelsAreSubtotals="1" fieldPosition="0"/>
    </format>
    <format dxfId="58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17D9760-C13B-45AA-B98A-01D37F79C6F5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1">
  <location ref="M3:O9" firstHeaderRow="0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axis="axisRow" showAll="0" measureFilter="1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/>
    <pivotField dataField="1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4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7" baseField="0" baseItem="0"/>
    <dataField name="Soma de quantidade" fld="6" baseField="0" baseItem="0"/>
  </dataFields>
  <formats count="7">
    <format dxfId="149">
      <pivotArea outline="0" collapsedLevelsAreSubtotals="1" fieldPosition="0"/>
    </format>
    <format dxfId="150">
      <pivotArea collapsedLevelsAreSubtotals="1" fieldPosition="0">
        <references count="2">
          <reference field="4294967294" count="1" selected="0">
            <x v="1"/>
          </reference>
          <reference field="4" count="1">
            <x v="4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1"/>
          </reference>
          <reference field="4" count="1">
            <x v="6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1"/>
          </reference>
          <reference field="4" count="1">
            <x v="7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1"/>
          </reference>
          <reference field="4" count="1">
            <x v="8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1"/>
          </reference>
          <reference field="4" count="1">
            <x v="9"/>
          </reference>
        </references>
      </pivotArea>
    </format>
    <format dxfId="155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4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49FD998-D494-4E96-85E2-BFBE4A64AB7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4">
  <location ref="H3:I11" firstHeaderRow="1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/>
    <pivotField axis="axisRow" showAll="0">
      <items count="8">
        <item x="5"/>
        <item x="4"/>
        <item x="3"/>
        <item x="6"/>
        <item x="2"/>
        <item x="1"/>
        <item x="0"/>
        <item t="default"/>
      </items>
    </pivotField>
    <pivotField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faturamento" fld="7" baseField="0" baseItem="0"/>
  </dataFields>
  <formats count="2">
    <format dxfId="136">
      <pivotArea outline="0" collapsedLevelsAreSubtotals="1" fieldPosition="0"/>
    </format>
    <format dxfId="137">
      <pivotArea dataOnly="0" labelOnly="1" outline="0" axis="axisValues" fieldPosition="0"/>
    </format>
  </formats>
  <chartFormats count="10"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6986B65-F2E5-4868-99F1-E14CE70485D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0">
  <location ref="E3:F16" firstHeaderRow="1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axis="axisRow"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showAll="0"/>
    <pivotField dataField="1" numFmtId="164" showAll="0">
      <items count="25">
        <item x="4"/>
        <item x="0"/>
        <item x="1"/>
        <item x="5"/>
        <item x="18"/>
        <item x="3"/>
        <item x="23"/>
        <item x="2"/>
        <item x="6"/>
        <item x="7"/>
        <item x="9"/>
        <item x="11"/>
        <item x="8"/>
        <item x="12"/>
        <item x="19"/>
        <item x="13"/>
        <item x="20"/>
        <item x="21"/>
        <item x="10"/>
        <item x="22"/>
        <item x="17"/>
        <item x="15"/>
        <item x="16"/>
        <item x="1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faturamento" fld="7" baseField="0" baseItem="0"/>
  </dataFields>
  <formats count="2">
    <format dxfId="147">
      <pivotArea outline="0" collapsedLevelsAreSubtotals="1" fieldPosition="0"/>
    </format>
    <format dxfId="148">
      <pivotArea dataOnly="0" labelOnly="1" outline="0" axis="axisValues" fieldPosition="0"/>
    </format>
  </formats>
  <chartFormats count="2"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02B3717-AA7C-4AA7-A66B-973F82268854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>
  <location ref="A3:B9" firstHeaderRow="1" firstDataRow="1" firstDataCol="1"/>
  <pivotFields count="10">
    <pivotField showAll="0"/>
    <pivotField axis="axisRow" showAll="0" measureFilter="1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/>
    <pivotField showAll="0"/>
    <pivotField showAll="0">
      <items count="7">
        <item x="3"/>
        <item x="1"/>
        <item x="0"/>
        <item x="4"/>
        <item x="2"/>
        <item x="5"/>
        <item t="default"/>
      </items>
    </pivotField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1"/>
    </i>
    <i>
      <x v="5"/>
    </i>
    <i>
      <x v="9"/>
    </i>
    <i>
      <x v="14"/>
    </i>
    <i>
      <x v="15"/>
    </i>
    <i t="grand">
      <x/>
    </i>
  </rowItems>
  <colItems count="1">
    <i/>
  </colItems>
  <dataFields count="1">
    <dataField name="Soma de faturamento" fld="7" baseField="0" baseItem="0"/>
  </dataFields>
  <formats count="2">
    <format dxfId="138">
      <pivotArea outline="0" collapsedLevelsAreSubtotals="1" fieldPosition="0"/>
    </format>
    <format dxfId="139">
      <pivotArea dataOnly="0" labelOnly="1" outline="0" axis="axisValues" fieldPosition="0"/>
    </format>
  </formats>
  <chartFormats count="7"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F3FC890-8938-498B-A428-81FA6E3A65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B3:C16" firstHeaderRow="1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axis="axisRow"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showAll="0"/>
    <pivotField dataField="1" numFmtId="164" showAll="0">
      <items count="25">
        <item x="4"/>
        <item x="0"/>
        <item x="1"/>
        <item x="5"/>
        <item x="18"/>
        <item x="3"/>
        <item x="23"/>
        <item x="2"/>
        <item x="6"/>
        <item x="7"/>
        <item x="9"/>
        <item x="11"/>
        <item x="8"/>
        <item x="12"/>
        <item x="19"/>
        <item x="13"/>
        <item x="20"/>
        <item x="21"/>
        <item x="10"/>
        <item x="22"/>
        <item x="17"/>
        <item x="15"/>
        <item x="16"/>
        <item x="1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faturamento" fld="7" baseField="0" baseItem="0"/>
  </dataFields>
  <formats count="14">
    <format dxfId="143">
      <pivotArea outline="0" collapsedLevelsAreSubtotals="1" fieldPosition="0"/>
    </format>
    <format dxfId="144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9" type="button" dataOnly="0" labelOnly="1" outline="0" axis="axisRow" fieldPosition="0"/>
    </format>
    <format dxfId="34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9" type="button" dataOnly="0" labelOnly="1" outline="0" axis="axisRow" fieldPosition="0"/>
    </format>
    <format dxfId="27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2"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F25E1C9-60F3-47E0-9773-CA9C803E5787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B15:D26" firstHeaderRow="0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axis="axisRow" showAll="0">
      <items count="11">
        <item x="8"/>
        <item x="2"/>
        <item x="9"/>
        <item x="3"/>
        <item x="0"/>
        <item x="4"/>
        <item x="6"/>
        <item x="7"/>
        <item x="5"/>
        <item x="1"/>
        <item t="default"/>
      </items>
    </pivotField>
    <pivotField showAll="0">
      <items count="8">
        <item x="5"/>
        <item x="4"/>
        <item x="3"/>
        <item x="6"/>
        <item x="2"/>
        <item x="1"/>
        <item x="0"/>
        <item t="default"/>
      </items>
    </pivotField>
    <pivotField dataField="1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7" baseField="0" baseItem="0"/>
    <dataField name="Soma de quantidade" fld="6" baseField="0" baseItem="0" numFmtId="165"/>
  </dataFields>
  <formats count="15">
    <format dxfId="131">
      <pivotArea outline="0" collapsedLevelsAreSubtotals="1" fieldPosition="0"/>
    </format>
    <format dxfId="132">
      <pivotArea dataOnly="0" labelOnly="1" outline="0" axis="axisValues" fieldPosition="0"/>
    </format>
    <format dxfId="1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BA08FC9-492D-4A1E-866B-B0A9C477A4B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B3:C11" firstHeaderRow="1" firstDataRow="1" firstDataCol="1"/>
  <pivotFields count="10">
    <pivotField showAll="0"/>
    <pivotField showAll="0">
      <items count="31">
        <item x="11"/>
        <item x="20"/>
        <item x="4"/>
        <item x="27"/>
        <item x="23"/>
        <item x="21"/>
        <item x="5"/>
        <item x="7"/>
        <item x="10"/>
        <item x="19"/>
        <item x="22"/>
        <item x="2"/>
        <item x="12"/>
        <item x="0"/>
        <item x="18"/>
        <item x="28"/>
        <item x="29"/>
        <item x="13"/>
        <item x="14"/>
        <item x="3"/>
        <item x="1"/>
        <item x="24"/>
        <item x="6"/>
        <item x="17"/>
        <item x="8"/>
        <item x="15"/>
        <item x="25"/>
        <item x="9"/>
        <item x="26"/>
        <item x="16"/>
        <item t="default"/>
      </items>
    </pivotField>
    <pivotField numFmtId="14" showAll="0">
      <items count="31">
        <item x="0"/>
        <item x="1"/>
        <item x="19"/>
        <item x="3"/>
        <item x="23"/>
        <item x="10"/>
        <item x="24"/>
        <item x="2"/>
        <item x="13"/>
        <item x="4"/>
        <item x="28"/>
        <item x="5"/>
        <item x="27"/>
        <item x="14"/>
        <item x="20"/>
        <item x="6"/>
        <item x="7"/>
        <item x="17"/>
        <item x="16"/>
        <item x="21"/>
        <item x="11"/>
        <item x="12"/>
        <item x="25"/>
        <item x="22"/>
        <item x="29"/>
        <item x="15"/>
        <item x="18"/>
        <item x="9"/>
        <item x="26"/>
        <item x="8"/>
        <item t="default"/>
      </items>
    </pivotField>
    <pivotField numFmtId="164" showAll="0"/>
    <pivotField showAll="0"/>
    <pivotField axis="axisRow" showAll="0">
      <items count="8">
        <item x="5"/>
        <item x="4"/>
        <item x="3"/>
        <item x="6"/>
        <item x="2"/>
        <item x="1"/>
        <item x="0"/>
        <item t="default"/>
      </items>
    </pivotField>
    <pivotField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faturamento" fld="7" baseField="0" baseItem="0"/>
  </dataFields>
  <formats count="14">
    <format dxfId="134">
      <pivotArea outline="0" collapsedLevelsAreSubtotals="1" fieldPosition="0"/>
    </format>
    <format dxfId="135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5" type="button" dataOnly="0" labelOnly="1" outline="0" axis="axisRow" fieldPosition="0"/>
    </format>
    <format dxfId="47">
      <pivotArea dataOnly="0" labelOnly="1" fieldPosition="0">
        <references count="1">
          <reference field="5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0"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çãodeDados_cliente" xr10:uid="{89479AC8-BACC-4CE8-845D-ED1240BE3264}" sourceName="cliente">
  <pivotTables>
    <pivotTable tabId="14" name="Tabela dinâmica5"/>
    <pivotTable tabId="14" name="Tabela dinâmica6"/>
    <pivotTable tabId="14" name="Tabela dinâmica7"/>
    <pivotTable tabId="14" name="Tabela dinâmica8"/>
    <pivotTable tabId="14" name="Tabela dinâmica9"/>
    <pivotTable tabId="14" name="Tabela dinâmica2"/>
    <pivotTable tabId="9" name="Tabela dinâmica1"/>
    <pivotTable tabId="10" name="Tabela dinâmica2"/>
    <pivotTable tabId="14" name="Tabela dinâmica3"/>
    <pivotTable tabId="11" name="Tabela dinâmica4"/>
  </pivotTables>
  <data>
    <tabular pivotCacheId="819845626">
      <items count="30">
        <i x="11" s="1"/>
        <i x="20" s="1"/>
        <i x="4" s="1"/>
        <i x="27" s="1"/>
        <i x="23" s="1"/>
        <i x="21" s="1"/>
        <i x="5" s="1"/>
        <i x="7" s="1"/>
        <i x="10" s="1"/>
        <i x="19" s="1"/>
        <i x="22" s="1"/>
        <i x="2" s="1"/>
        <i x="12" s="1"/>
        <i x="0" s="1"/>
        <i x="18" s="1"/>
        <i x="28" s="1"/>
        <i x="29" s="1"/>
        <i x="13" s="1"/>
        <i x="14" s="1"/>
        <i x="3" s="1"/>
        <i x="1" s="1"/>
        <i x="24" s="1"/>
        <i x="6" s="1"/>
        <i x="17" s="1"/>
        <i x="8" s="1"/>
        <i x="15" s="1"/>
        <i x="25" s="1"/>
        <i x="9" s="1"/>
        <i x="26" s="1"/>
        <i x="1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çãodeDados_produto" xr10:uid="{7A4A652F-BE41-4265-964C-274662AF84A6}" sourceName="produto">
  <pivotTables>
    <pivotTable tabId="14" name="Tabela dinâmica8"/>
    <pivotTable tabId="14" name="Tabela dinâmica6"/>
    <pivotTable tabId="14" name="Tabela dinâmica9"/>
    <pivotTable tabId="14" name="Tabela dinâmica2"/>
    <pivotTable tabId="9" name="Tabela dinâmica1"/>
  </pivotTables>
  <data>
    <tabular pivotCacheId="819845626">
      <items count="10">
        <i x="8" s="1"/>
        <i x="2" s="1"/>
        <i x="9" s="1"/>
        <i x="3" s="1"/>
        <i x="0" s="1"/>
        <i x="4" s="1"/>
        <i x="6" s="1"/>
        <i x="7" s="1"/>
        <i x="5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çãodeDados_estado" xr10:uid="{7F747116-59D1-40E2-AC38-C3A63D9ECDAD}" sourceName="estado">
  <pivotTables>
    <pivotTable tabId="14" name="Tabela dinâmica7"/>
    <pivotTable tabId="14" name="Tabela dinâmica6"/>
    <pivotTable tabId="14" name="Tabela dinâmica9"/>
    <pivotTable tabId="14" name="Tabela dinâmica2"/>
    <pivotTable tabId="9" name="Tabela dinâmica1"/>
    <pivotTable tabId="10" name="Tabela dinâmica2"/>
    <pivotTable tabId="14" name="Tabela dinâmica3"/>
    <pivotTable tabId="11" name="Tabela dinâmica4"/>
  </pivotTables>
  <data>
    <tabular pivotCacheId="819845626">
      <items count="7">
        <i x="5" s="1"/>
        <i x="4" s="1"/>
        <i x="3" s="1"/>
        <i x="6" s="1"/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çãodeDados_Meses__data" xr10:uid="{A7A772C1-B566-4C8E-8D4D-57058D93C566}" sourceName="Meses (data)">
  <pivotTables>
    <pivotTable tabId="14" name="Tabela dinâmica6"/>
    <pivotTable tabId="14" name="Tabela dinâmica9"/>
    <pivotTable tabId="14" name="Tabela dinâmica2"/>
    <pivotTable tabId="9" name="Tabela dinâmica1"/>
  </pivotTables>
  <data>
    <tabular pivotCacheId="819845626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liente" xr10:uid="{283D6704-813C-4DB8-9AB5-B40F5CC6E56C}" cache="SegmentaçãodeDados_cliente" caption="cliente" columnCount="4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produto" xr10:uid="{F14DFD95-F2BA-4B7D-BA43-C9F83038C1CB}" cache="SegmentaçãodeDados_produto" caption="produto" columnCount="3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estado" xr10:uid="{6CEEF4AA-82E6-46E4-BEE7-7E9BD9C5F052}" cache="SegmentaçãodeDados_estado" caption="estado" columnCount="4" rowHeight="257175"/>
  <slicer name="Meses (data)" xr10:uid="{113BF730-E70F-4E27-9347-4A80F8CFB905}" cache="SegmentaçãodeDados_Meses__data" caption="Meses (data)" columnCount="2" rowHeight="257175"/>
</slicer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851A129D-897C-4798-87B6-48EAAD1A6DF4}" name="Tabela2" displayName="Tabela2" ref="A1:H31" totalsRowShown="0">
  <autoFilter ref="A1:H31" xr:uid="{851A129D-897C-4798-87B6-48EAAD1A6DF4}"/>
  <tableColumns count="8">
    <tableColumn id="1" xr3:uid="{4709DA17-1F4D-47C9-BFB0-0F1E7C739915}" name="id_venda"/>
    <tableColumn id="2" xr3:uid="{1363EFF7-F9A2-42D9-8DDE-C06F4B50B609}" name="cliente"/>
    <tableColumn id="3" xr3:uid="{71A41585-9FFF-44C2-9372-3A1DEE5C42A0}" name="data" dataDxfId="227"/>
    <tableColumn id="4" xr3:uid="{1CD3275E-11BA-46CC-9903-FDB80B69E289}" name="preço unitário" dataDxfId="226" dataCellStyle="Vírgula"/>
    <tableColumn id="5" xr3:uid="{2C8FB900-C145-45A6-BB6B-CFD9E415B497}" name="produto"/>
    <tableColumn id="6" xr3:uid="{3AF5F713-D990-43B0-984B-C6DA65C9226A}" name="estado"/>
    <tableColumn id="7" xr3:uid="{34533824-852E-4EFD-81A2-327443885876}" name="quantidade"/>
    <tableColumn id="8" xr3:uid="{DF315A16-841B-43A4-972A-D6229B94D72E}" name="faturamento" dataDxfId="225">
      <calculatedColumnFormula>D2*G2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7" Type="http://purl.oclc.org/ooxml/officeDocument/relationships/pivotTable" Target="../pivotTables/pivotTable7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6" Type="http://purl.oclc.org/ooxml/officeDocument/relationships/pivotTable" Target="../pivotTables/pivotTable6.xml"/><Relationship Id="rId5" Type="http://purl.oclc.org/ooxml/officeDocument/relationships/pivotTable" Target="../pivotTables/pivotTable5.xml"/><Relationship Id="rId4" Type="http://purl.oclc.org/ooxml/officeDocument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purl.oclc.org/ooxml/officeDocument/relationships/drawing" Target="../drawings/drawing3.xml"/><Relationship Id="rId1" Type="http://purl.oclc.org/ooxml/officeDocument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purl.oclc.org/ooxml/officeDocument/relationships/drawing" Target="../drawings/drawing5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103-37C9-4427-83D9-87B16C8C6666}">
  <dimension ref="A3:R25"/>
  <sheetViews>
    <sheetView workbookViewId="0">
      <selection activeCell="J18" sqref="J18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19.5703125" bestFit="1" customWidth="1"/>
    <col min="5" max="5" width="18.42578125" bestFit="1" customWidth="1"/>
    <col min="6" max="6" width="22.140625" bestFit="1" customWidth="1"/>
    <col min="8" max="8" width="18.42578125" bestFit="1" customWidth="1"/>
    <col min="9" max="9" width="21" bestFit="1" customWidth="1"/>
    <col min="10" max="10" width="19.5703125" bestFit="1" customWidth="1"/>
    <col min="13" max="13" width="18.42578125" bestFit="1" customWidth="1"/>
    <col min="14" max="14" width="20.5703125" bestFit="1" customWidth="1"/>
    <col min="15" max="15" width="19.5703125" bestFit="1" customWidth="1"/>
    <col min="16" max="17" width="15.140625" bestFit="1" customWidth="1"/>
  </cols>
  <sheetData>
    <row r="3" spans="1:18" x14ac:dyDescent="0.25">
      <c r="A3" s="3" t="s">
        <v>52</v>
      </c>
      <c r="B3" s="5" t="s">
        <v>74</v>
      </c>
      <c r="E3" s="3" t="s">
        <v>52</v>
      </c>
      <c r="F3" s="5" t="s">
        <v>74</v>
      </c>
      <c r="H3" s="3" t="s">
        <v>52</v>
      </c>
      <c r="I3" s="5" t="s">
        <v>74</v>
      </c>
      <c r="M3" s="3" t="s">
        <v>52</v>
      </c>
      <c r="N3" t="s">
        <v>74</v>
      </c>
      <c r="O3" t="s">
        <v>76</v>
      </c>
      <c r="P3" s="13"/>
      <c r="Q3" s="14"/>
      <c r="R3" s="15"/>
    </row>
    <row r="4" spans="1:18" x14ac:dyDescent="0.25">
      <c r="A4" s="4" t="s">
        <v>23</v>
      </c>
      <c r="B4" s="5">
        <v>5400</v>
      </c>
      <c r="E4" s="4" t="s">
        <v>60</v>
      </c>
      <c r="F4" s="5">
        <v>5100</v>
      </c>
      <c r="H4" s="4" t="s">
        <v>38</v>
      </c>
      <c r="I4" s="5">
        <v>5900</v>
      </c>
      <c r="M4" s="4" t="s">
        <v>32</v>
      </c>
      <c r="N4" s="5">
        <v>4620</v>
      </c>
      <c r="O4" s="22">
        <v>17</v>
      </c>
      <c r="P4" s="16"/>
      <c r="Q4" s="17"/>
      <c r="R4" s="18"/>
    </row>
    <row r="5" spans="1:18" x14ac:dyDescent="0.25">
      <c r="A5" s="4" t="s">
        <v>24</v>
      </c>
      <c r="B5" s="5">
        <v>4000</v>
      </c>
      <c r="E5" s="4" t="s">
        <v>58</v>
      </c>
      <c r="F5" s="5">
        <v>5190</v>
      </c>
      <c r="H5" s="4" t="s">
        <v>37</v>
      </c>
      <c r="I5" s="5">
        <v>8430</v>
      </c>
      <c r="M5" s="4" t="s">
        <v>45</v>
      </c>
      <c r="N5" s="5">
        <v>7300</v>
      </c>
      <c r="O5" s="22">
        <v>4</v>
      </c>
      <c r="P5" s="16"/>
      <c r="Q5" s="17"/>
      <c r="R5" s="18"/>
    </row>
    <row r="6" spans="1:18" x14ac:dyDescent="0.25">
      <c r="A6" s="4" t="s">
        <v>22</v>
      </c>
      <c r="B6" s="5">
        <v>4400</v>
      </c>
      <c r="E6" s="4" t="s">
        <v>56</v>
      </c>
      <c r="F6" s="5">
        <v>4800</v>
      </c>
      <c r="H6" s="4" t="s">
        <v>36</v>
      </c>
      <c r="I6" s="5">
        <v>14100</v>
      </c>
      <c r="M6" s="4" t="s">
        <v>50</v>
      </c>
      <c r="N6" s="5">
        <v>12400</v>
      </c>
      <c r="O6" s="22">
        <v>11</v>
      </c>
      <c r="P6" s="16"/>
      <c r="Q6" s="17"/>
      <c r="R6" s="18"/>
    </row>
    <row r="7" spans="1:18" x14ac:dyDescent="0.25">
      <c r="A7" s="4" t="s">
        <v>21</v>
      </c>
      <c r="B7" s="5">
        <v>6000</v>
      </c>
      <c r="E7" s="4" t="s">
        <v>57</v>
      </c>
      <c r="F7" s="5">
        <v>3280</v>
      </c>
      <c r="H7" s="4" t="s">
        <v>39</v>
      </c>
      <c r="I7" s="5">
        <v>4150</v>
      </c>
      <c r="M7" s="4" t="s">
        <v>44</v>
      </c>
      <c r="N7" s="5">
        <v>9000</v>
      </c>
      <c r="O7" s="22">
        <v>8</v>
      </c>
      <c r="P7" s="16"/>
      <c r="Q7" s="17"/>
      <c r="R7" s="18"/>
    </row>
    <row r="8" spans="1:18" x14ac:dyDescent="0.25">
      <c r="A8" s="4" t="s">
        <v>49</v>
      </c>
      <c r="B8" s="5">
        <v>3800</v>
      </c>
      <c r="E8" s="4" t="s">
        <v>55</v>
      </c>
      <c r="F8" s="5">
        <v>7650</v>
      </c>
      <c r="H8" s="4" t="s">
        <v>34</v>
      </c>
      <c r="I8" s="5">
        <v>7790</v>
      </c>
      <c r="M8" s="4" t="s">
        <v>40</v>
      </c>
      <c r="N8" s="5">
        <v>9290</v>
      </c>
      <c r="O8" s="22">
        <v>30</v>
      </c>
      <c r="P8" s="16"/>
      <c r="Q8" s="17"/>
      <c r="R8" s="18"/>
    </row>
    <row r="9" spans="1:18" x14ac:dyDescent="0.25">
      <c r="A9" s="4" t="s">
        <v>53</v>
      </c>
      <c r="B9" s="5">
        <v>23600</v>
      </c>
      <c r="E9" s="4" t="s">
        <v>59</v>
      </c>
      <c r="F9" s="5">
        <v>4480</v>
      </c>
      <c r="H9" s="4" t="s">
        <v>35</v>
      </c>
      <c r="I9" s="5">
        <v>6020</v>
      </c>
      <c r="M9" s="4" t="s">
        <v>53</v>
      </c>
      <c r="N9" s="5">
        <v>42610</v>
      </c>
      <c r="O9" s="22">
        <v>70</v>
      </c>
      <c r="P9" s="16"/>
      <c r="Q9" s="17"/>
      <c r="R9" s="18"/>
    </row>
    <row r="10" spans="1:18" x14ac:dyDescent="0.25">
      <c r="E10" s="4" t="s">
        <v>54</v>
      </c>
      <c r="F10" s="5">
        <v>7200</v>
      </c>
      <c r="H10" s="4" t="s">
        <v>33</v>
      </c>
      <c r="I10" s="5">
        <v>7900</v>
      </c>
      <c r="P10" s="16"/>
      <c r="Q10" s="17"/>
      <c r="R10" s="18"/>
    </row>
    <row r="11" spans="1:18" x14ac:dyDescent="0.25">
      <c r="E11" s="4" t="s">
        <v>62</v>
      </c>
      <c r="F11" s="5">
        <v>1600</v>
      </c>
      <c r="H11" s="4" t="s">
        <v>53</v>
      </c>
      <c r="I11" s="5">
        <v>54290</v>
      </c>
      <c r="P11" s="16"/>
      <c r="Q11" s="17"/>
      <c r="R11" s="18"/>
    </row>
    <row r="12" spans="1:18" x14ac:dyDescent="0.25">
      <c r="E12" s="4" t="s">
        <v>61</v>
      </c>
      <c r="F12" s="5">
        <v>3240</v>
      </c>
      <c r="P12" s="16"/>
      <c r="Q12" s="17"/>
      <c r="R12" s="18"/>
    </row>
    <row r="13" spans="1:18" x14ac:dyDescent="0.25">
      <c r="E13" s="4" t="s">
        <v>63</v>
      </c>
      <c r="F13" s="5">
        <v>6000</v>
      </c>
      <c r="P13" s="16"/>
      <c r="Q13" s="17"/>
      <c r="R13" s="18"/>
    </row>
    <row r="14" spans="1:18" x14ac:dyDescent="0.25">
      <c r="E14" s="4" t="s">
        <v>65</v>
      </c>
      <c r="F14" s="5">
        <v>4550</v>
      </c>
      <c r="M14" s="3" t="s">
        <v>52</v>
      </c>
      <c r="N14" t="s">
        <v>74</v>
      </c>
      <c r="O14" t="s">
        <v>76</v>
      </c>
      <c r="P14" s="16"/>
      <c r="Q14" s="17"/>
      <c r="R14" s="18"/>
    </row>
    <row r="15" spans="1:18" x14ac:dyDescent="0.25">
      <c r="E15" s="4" t="s">
        <v>64</v>
      </c>
      <c r="F15" s="5">
        <v>1200</v>
      </c>
      <c r="M15" s="4" t="s">
        <v>46</v>
      </c>
      <c r="N15" s="5">
        <v>3050</v>
      </c>
      <c r="O15" s="22">
        <v>13</v>
      </c>
      <c r="P15" s="16"/>
      <c r="Q15" s="17"/>
      <c r="R15" s="18"/>
    </row>
    <row r="16" spans="1:18" x14ac:dyDescent="0.25">
      <c r="E16" s="4" t="s">
        <v>53</v>
      </c>
      <c r="F16" s="5">
        <v>54290</v>
      </c>
      <c r="I16" s="23"/>
      <c r="M16" s="4" t="s">
        <v>41</v>
      </c>
      <c r="N16" s="5">
        <v>2350</v>
      </c>
      <c r="O16" s="22">
        <v>9</v>
      </c>
      <c r="P16" s="16"/>
      <c r="Q16" s="17"/>
      <c r="R16" s="18"/>
    </row>
    <row r="17" spans="9:18" x14ac:dyDescent="0.25">
      <c r="I17" t="s">
        <v>80</v>
      </c>
      <c r="J17" t="s">
        <v>76</v>
      </c>
      <c r="M17" s="4" t="s">
        <v>51</v>
      </c>
      <c r="N17" s="5">
        <v>4000</v>
      </c>
      <c r="O17" s="22">
        <v>4</v>
      </c>
      <c r="P17" s="16"/>
      <c r="Q17" s="17"/>
      <c r="R17" s="18"/>
    </row>
    <row r="18" spans="9:18" x14ac:dyDescent="0.25">
      <c r="I18" s="5">
        <v>1809.6666666666667</v>
      </c>
      <c r="J18" s="22">
        <v>106</v>
      </c>
      <c r="M18" s="4" t="s">
        <v>42</v>
      </c>
      <c r="N18" s="5">
        <v>1800</v>
      </c>
      <c r="O18" s="22">
        <v>6</v>
      </c>
      <c r="P18" s="16"/>
      <c r="Q18" s="17"/>
      <c r="R18" s="18"/>
    </row>
    <row r="19" spans="9:18" x14ac:dyDescent="0.25">
      <c r="M19" s="4" t="s">
        <v>32</v>
      </c>
      <c r="N19" s="5">
        <v>4620</v>
      </c>
      <c r="O19" s="22">
        <v>17</v>
      </c>
      <c r="P19" s="16"/>
      <c r="Q19" s="17"/>
      <c r="R19" s="18"/>
    </row>
    <row r="20" spans="9:18" x14ac:dyDescent="0.25">
      <c r="M20" s="4" t="s">
        <v>43</v>
      </c>
      <c r="N20" s="5">
        <v>480</v>
      </c>
      <c r="O20" s="22">
        <v>4</v>
      </c>
      <c r="P20" s="19"/>
      <c r="Q20" s="20"/>
      <c r="R20" s="21"/>
    </row>
    <row r="21" spans="9:18" x14ac:dyDescent="0.25">
      <c r="M21" s="4" t="s">
        <v>45</v>
      </c>
      <c r="N21" s="5">
        <v>7300</v>
      </c>
      <c r="O21" s="22">
        <v>4</v>
      </c>
    </row>
    <row r="22" spans="9:18" x14ac:dyDescent="0.25">
      <c r="M22" s="4" t="s">
        <v>50</v>
      </c>
      <c r="N22" s="5">
        <v>12400</v>
      </c>
      <c r="O22" s="22">
        <v>11</v>
      </c>
    </row>
    <row r="23" spans="9:18" x14ac:dyDescent="0.25">
      <c r="M23" s="4" t="s">
        <v>44</v>
      </c>
      <c r="N23" s="5">
        <v>9000</v>
      </c>
      <c r="O23" s="22">
        <v>8</v>
      </c>
    </row>
    <row r="24" spans="9:18" x14ac:dyDescent="0.25">
      <c r="M24" s="4" t="s">
        <v>40</v>
      </c>
      <c r="N24" s="5">
        <v>9290</v>
      </c>
      <c r="O24" s="22">
        <v>30</v>
      </c>
    </row>
    <row r="25" spans="9:18" x14ac:dyDescent="0.25">
      <c r="M25" s="4" t="s">
        <v>53</v>
      </c>
      <c r="N25" s="5">
        <v>54290</v>
      </c>
      <c r="O25" s="22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13BA-B29D-4D17-9D0D-A47BFB15D8AE}">
  <dimension ref="A1:H31"/>
  <sheetViews>
    <sheetView workbookViewId="0">
      <selection activeCell="D2" sqref="D2"/>
    </sheetView>
  </sheetViews>
  <sheetFormatPr defaultRowHeight="15" x14ac:dyDescent="0.25"/>
  <cols>
    <col min="1" max="1" width="11.140625" customWidth="1"/>
    <col min="2" max="2" width="9.42578125" customWidth="1"/>
    <col min="3" max="3" width="10.42578125" bestFit="1" customWidth="1"/>
    <col min="4" max="4" width="17.42578125" bestFit="1" customWidth="1"/>
    <col min="5" max="5" width="14.140625" bestFit="1" customWidth="1"/>
    <col min="6" max="6" width="9.28515625" customWidth="1"/>
    <col min="7" max="7" width="13.42578125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2" t="s">
        <v>72</v>
      </c>
      <c r="E1" t="s">
        <v>3</v>
      </c>
      <c r="F1" t="s">
        <v>4</v>
      </c>
      <c r="G1" t="s">
        <v>71</v>
      </c>
      <c r="H1" t="s">
        <v>73</v>
      </c>
    </row>
    <row r="2" spans="1:8" x14ac:dyDescent="0.25">
      <c r="A2">
        <v>1</v>
      </c>
      <c r="B2" t="s">
        <v>47</v>
      </c>
      <c r="C2" s="1" t="d">
        <v>2024-01-10</v>
      </c>
      <c r="D2" s="2">
        <v>100</v>
      </c>
      <c r="E2" t="s">
        <v>32</v>
      </c>
      <c r="F2" t="s">
        <v>33</v>
      </c>
      <c r="G2">
        <v>3</v>
      </c>
      <c r="H2" s="5">
        <f t="shared" ref="H2:H31" si="0">D2*G2</f>
        <v>300</v>
      </c>
    </row>
    <row r="3" spans="1:8" x14ac:dyDescent="0.25">
      <c r="A3">
        <v>2</v>
      </c>
      <c r="B3" t="s">
        <v>5</v>
      </c>
      <c r="C3" s="1" t="d">
        <v>2024-01-12</v>
      </c>
      <c r="D3" s="2">
        <v>200</v>
      </c>
      <c r="E3" t="s">
        <v>40</v>
      </c>
      <c r="F3" t="s">
        <v>35</v>
      </c>
      <c r="G3">
        <v>2</v>
      </c>
      <c r="H3" s="5">
        <f t="shared" si="0"/>
        <v>400</v>
      </c>
    </row>
    <row r="4" spans="1:8" x14ac:dyDescent="0.25">
      <c r="A4">
        <v>3</v>
      </c>
      <c r="B4" t="s">
        <v>6</v>
      </c>
      <c r="C4" s="1" t="d">
        <v>2024-02-27</v>
      </c>
      <c r="D4" s="2">
        <v>150</v>
      </c>
      <c r="E4" t="s">
        <v>41</v>
      </c>
      <c r="F4" t="s">
        <v>34</v>
      </c>
      <c r="G4">
        <v>5</v>
      </c>
      <c r="H4" s="5">
        <f t="shared" si="0"/>
        <v>750</v>
      </c>
    </row>
    <row r="5" spans="1:8" x14ac:dyDescent="0.25">
      <c r="A5">
        <v>4</v>
      </c>
      <c r="B5" t="s">
        <v>7</v>
      </c>
      <c r="C5" s="1" t="d">
        <v>2024-02-10</v>
      </c>
      <c r="D5" s="2">
        <v>300</v>
      </c>
      <c r="E5" t="s">
        <v>42</v>
      </c>
      <c r="F5" t="s">
        <v>36</v>
      </c>
      <c r="G5">
        <v>2</v>
      </c>
      <c r="H5" s="5">
        <f t="shared" si="0"/>
        <v>600</v>
      </c>
    </row>
    <row r="6" spans="1:8" x14ac:dyDescent="0.25">
      <c r="A6">
        <v>5</v>
      </c>
      <c r="B6" t="s">
        <v>8</v>
      </c>
      <c r="C6" s="1" t="d">
        <v>2024-03-23</v>
      </c>
      <c r="D6" s="2">
        <v>250</v>
      </c>
      <c r="E6" t="s">
        <v>32</v>
      </c>
      <c r="F6" t="s">
        <v>33</v>
      </c>
      <c r="G6">
        <v>1</v>
      </c>
      <c r="H6" s="5">
        <f t="shared" si="0"/>
        <v>250</v>
      </c>
    </row>
    <row r="7" spans="1:8" x14ac:dyDescent="0.25">
      <c r="A7">
        <v>6</v>
      </c>
      <c r="B7" t="s">
        <v>9</v>
      </c>
      <c r="C7" s="1" t="d">
        <v>2024-04-15</v>
      </c>
      <c r="D7" s="2">
        <v>120</v>
      </c>
      <c r="E7" t="s">
        <v>43</v>
      </c>
      <c r="F7" t="s">
        <v>37</v>
      </c>
      <c r="G7">
        <v>4</v>
      </c>
      <c r="H7" s="5">
        <f t="shared" si="0"/>
        <v>480</v>
      </c>
    </row>
    <row r="8" spans="1:8" x14ac:dyDescent="0.25">
      <c r="A8">
        <v>7</v>
      </c>
      <c r="B8" t="s">
        <v>10</v>
      </c>
      <c r="C8" s="1" t="d">
        <v>2024-05-13</v>
      </c>
      <c r="D8" s="2">
        <v>150</v>
      </c>
      <c r="E8" t="s">
        <v>40</v>
      </c>
      <c r="F8" t="s">
        <v>35</v>
      </c>
      <c r="G8">
        <v>6</v>
      </c>
      <c r="H8" s="5">
        <f t="shared" si="0"/>
        <v>900</v>
      </c>
    </row>
    <row r="9" spans="1:8" x14ac:dyDescent="0.25">
      <c r="A9">
        <v>8</v>
      </c>
      <c r="B9" t="s">
        <v>11</v>
      </c>
      <c r="C9" s="1" t="d">
        <v>2024-06-10</v>
      </c>
      <c r="D9" s="2">
        <v>200</v>
      </c>
      <c r="E9" t="s">
        <v>40</v>
      </c>
      <c r="F9" t="s">
        <v>33</v>
      </c>
      <c r="G9">
        <v>3</v>
      </c>
      <c r="H9" s="5">
        <f t="shared" si="0"/>
        <v>600</v>
      </c>
    </row>
    <row r="10" spans="1:8" x14ac:dyDescent="0.25">
      <c r="A10">
        <v>9</v>
      </c>
      <c r="B10" t="s">
        <v>12</v>
      </c>
      <c r="C10" s="1" t="d">
        <v>2024-12-10</v>
      </c>
      <c r="D10" s="2">
        <v>300</v>
      </c>
      <c r="E10" t="s">
        <v>42</v>
      </c>
      <c r="F10" t="s">
        <v>36</v>
      </c>
      <c r="G10">
        <v>4</v>
      </c>
      <c r="H10" s="5">
        <f t="shared" si="0"/>
        <v>1200</v>
      </c>
    </row>
    <row r="11" spans="1:8" x14ac:dyDescent="0.25">
      <c r="A11">
        <v>10</v>
      </c>
      <c r="B11" t="s">
        <v>13</v>
      </c>
      <c r="C11" s="1" t="d">
        <v>2024-11-10</v>
      </c>
      <c r="D11" s="2">
        <v>900</v>
      </c>
      <c r="E11" t="s">
        <v>44</v>
      </c>
      <c r="F11" t="s">
        <v>37</v>
      </c>
      <c r="G11">
        <v>2</v>
      </c>
      <c r="H11" s="5">
        <f t="shared" si="0"/>
        <v>1800</v>
      </c>
    </row>
    <row r="12" spans="1:8" x14ac:dyDescent="0.25">
      <c r="A12">
        <v>11</v>
      </c>
      <c r="B12" t="s">
        <v>14</v>
      </c>
      <c r="C12" s="1" t="d">
        <v>2024-02-16</v>
      </c>
      <c r="D12" s="2">
        <v>1300</v>
      </c>
      <c r="E12" t="s">
        <v>45</v>
      </c>
      <c r="F12" t="s">
        <v>38</v>
      </c>
      <c r="G12">
        <v>1</v>
      </c>
      <c r="H12" s="5">
        <f t="shared" si="0"/>
        <v>1300</v>
      </c>
    </row>
    <row r="13" spans="1:8" x14ac:dyDescent="0.25">
      <c r="A13">
        <v>12</v>
      </c>
      <c r="B13" t="s">
        <v>15</v>
      </c>
      <c r="C13" s="1" t="d">
        <v>2024-07-13</v>
      </c>
      <c r="D13" s="2">
        <v>800</v>
      </c>
      <c r="E13" t="s">
        <v>50</v>
      </c>
      <c r="F13" t="s">
        <v>34</v>
      </c>
      <c r="G13">
        <v>4</v>
      </c>
      <c r="H13" s="5">
        <f t="shared" si="0"/>
        <v>3200</v>
      </c>
    </row>
    <row r="14" spans="1:8" x14ac:dyDescent="0.25">
      <c r="A14">
        <v>13</v>
      </c>
      <c r="B14" t="s">
        <v>16</v>
      </c>
      <c r="C14" s="1" t="d">
        <v>2024-08-16</v>
      </c>
      <c r="D14" s="2">
        <v>250</v>
      </c>
      <c r="E14" t="s">
        <v>41</v>
      </c>
      <c r="F14" t="s">
        <v>37</v>
      </c>
      <c r="G14">
        <v>1</v>
      </c>
      <c r="H14" s="5">
        <f t="shared" si="0"/>
        <v>250</v>
      </c>
    </row>
    <row r="15" spans="1:8" x14ac:dyDescent="0.25">
      <c r="A15">
        <v>14</v>
      </c>
      <c r="B15" t="s">
        <v>17</v>
      </c>
      <c r="C15" s="1" t="d">
        <v>2024-03-11</v>
      </c>
      <c r="D15" s="2">
        <v>150</v>
      </c>
      <c r="E15" t="s">
        <v>46</v>
      </c>
      <c r="F15" t="s">
        <v>33</v>
      </c>
      <c r="G15">
        <v>5</v>
      </c>
      <c r="H15" s="5">
        <f t="shared" si="0"/>
        <v>750</v>
      </c>
    </row>
    <row r="16" spans="1:8" x14ac:dyDescent="0.25">
      <c r="A16">
        <v>15</v>
      </c>
      <c r="B16" t="s">
        <v>18</v>
      </c>
      <c r="C16" s="1" t="d">
        <v>2024-05-10</v>
      </c>
      <c r="D16" s="2">
        <v>450</v>
      </c>
      <c r="E16" t="s">
        <v>41</v>
      </c>
      <c r="F16" t="s">
        <v>36</v>
      </c>
      <c r="G16">
        <v>3</v>
      </c>
      <c r="H16" s="5">
        <f t="shared" si="0"/>
        <v>1350</v>
      </c>
    </row>
    <row r="17" spans="1:8" x14ac:dyDescent="0.25">
      <c r="A17">
        <v>16</v>
      </c>
      <c r="B17" t="s">
        <v>19</v>
      </c>
      <c r="C17" s="1" t="d">
        <v>2024-09-21</v>
      </c>
      <c r="D17" s="2">
        <v>320</v>
      </c>
      <c r="E17" t="s">
        <v>40</v>
      </c>
      <c r="F17" t="s">
        <v>35</v>
      </c>
      <c r="G17">
        <v>6</v>
      </c>
      <c r="H17" s="5">
        <f t="shared" si="0"/>
        <v>1920</v>
      </c>
    </row>
    <row r="18" spans="1:8" x14ac:dyDescent="0.25">
      <c r="A18">
        <v>17</v>
      </c>
      <c r="B18" t="s">
        <v>20</v>
      </c>
      <c r="C18" s="1" t="d">
        <v>2024-06-23</v>
      </c>
      <c r="D18" s="2">
        <v>450</v>
      </c>
      <c r="E18" t="s">
        <v>46</v>
      </c>
      <c r="F18" t="s">
        <v>34</v>
      </c>
      <c r="G18">
        <v>4</v>
      </c>
      <c r="H18" s="5">
        <f t="shared" si="0"/>
        <v>1800</v>
      </c>
    </row>
    <row r="19" spans="1:8" x14ac:dyDescent="0.25">
      <c r="A19">
        <v>18</v>
      </c>
      <c r="B19" t="s">
        <v>48</v>
      </c>
      <c r="C19" s="1" t="d">
        <v>2024-06-17</v>
      </c>
      <c r="D19" s="2">
        <v>520</v>
      </c>
      <c r="E19" t="s">
        <v>40</v>
      </c>
      <c r="F19" t="s">
        <v>35</v>
      </c>
      <c r="G19">
        <v>4</v>
      </c>
      <c r="H19" s="5">
        <f t="shared" si="0"/>
        <v>2080</v>
      </c>
    </row>
    <row r="20" spans="1:8" x14ac:dyDescent="0.25">
      <c r="A20">
        <v>19</v>
      </c>
      <c r="B20" t="s">
        <v>21</v>
      </c>
      <c r="C20" s="1" t="d">
        <v>2024-10-10</v>
      </c>
      <c r="D20" s="2">
        <v>2000</v>
      </c>
      <c r="E20" t="s">
        <v>45</v>
      </c>
      <c r="F20" t="s">
        <v>33</v>
      </c>
      <c r="G20">
        <v>3</v>
      </c>
      <c r="H20" s="5">
        <f t="shared" si="0"/>
        <v>6000</v>
      </c>
    </row>
    <row r="21" spans="1:8" x14ac:dyDescent="0.25">
      <c r="A21">
        <v>20</v>
      </c>
      <c r="B21" t="s">
        <v>22</v>
      </c>
      <c r="C21" s="1" t="d">
        <v>2024-01-26</v>
      </c>
      <c r="D21" s="2">
        <v>2200</v>
      </c>
      <c r="E21" t="s">
        <v>44</v>
      </c>
      <c r="F21" t="s">
        <v>36</v>
      </c>
      <c r="G21">
        <v>2</v>
      </c>
      <c r="H21" s="5">
        <f t="shared" si="0"/>
        <v>4400</v>
      </c>
    </row>
    <row r="22" spans="1:8" x14ac:dyDescent="0.25">
      <c r="A22">
        <v>21</v>
      </c>
      <c r="B22" t="s">
        <v>23</v>
      </c>
      <c r="C22" s="1" t="d">
        <v>2024-05-12</v>
      </c>
      <c r="D22" s="2">
        <v>1800</v>
      </c>
      <c r="E22" t="s">
        <v>50</v>
      </c>
      <c r="F22" t="s">
        <v>37</v>
      </c>
      <c r="G22">
        <v>3</v>
      </c>
      <c r="H22" s="5">
        <f t="shared" si="0"/>
        <v>5400</v>
      </c>
    </row>
    <row r="23" spans="1:8" x14ac:dyDescent="0.25">
      <c r="A23">
        <v>22</v>
      </c>
      <c r="B23" t="s">
        <v>24</v>
      </c>
      <c r="C23" s="1" t="d">
        <v>2024-07-11</v>
      </c>
      <c r="D23" s="2">
        <v>1000</v>
      </c>
      <c r="E23" t="s">
        <v>51</v>
      </c>
      <c r="F23" t="s">
        <v>38</v>
      </c>
      <c r="G23">
        <v>4</v>
      </c>
      <c r="H23" s="5">
        <f t="shared" si="0"/>
        <v>4000</v>
      </c>
    </row>
    <row r="24" spans="1:8" x14ac:dyDescent="0.25">
      <c r="A24">
        <v>23</v>
      </c>
      <c r="B24" t="s">
        <v>25</v>
      </c>
      <c r="C24" s="1" t="d">
        <v>2024-09-10</v>
      </c>
      <c r="D24" s="2">
        <v>300</v>
      </c>
      <c r="E24" t="s">
        <v>32</v>
      </c>
      <c r="F24" t="s">
        <v>38</v>
      </c>
      <c r="G24">
        <v>2</v>
      </c>
      <c r="H24" s="5">
        <f t="shared" si="0"/>
        <v>600</v>
      </c>
    </row>
    <row r="25" spans="1:8" x14ac:dyDescent="0.25">
      <c r="A25">
        <v>24</v>
      </c>
      <c r="B25" t="s">
        <v>26</v>
      </c>
      <c r="C25" s="1" t="d">
        <v>2024-02-12</v>
      </c>
      <c r="D25" s="2">
        <v>125</v>
      </c>
      <c r="E25" t="s">
        <v>46</v>
      </c>
      <c r="F25" t="s">
        <v>37</v>
      </c>
      <c r="G25">
        <v>4</v>
      </c>
      <c r="H25" s="5">
        <f t="shared" si="0"/>
        <v>500</v>
      </c>
    </row>
    <row r="26" spans="1:8" x14ac:dyDescent="0.25">
      <c r="A26">
        <v>25</v>
      </c>
      <c r="B26" t="s">
        <v>27</v>
      </c>
      <c r="C26" s="1" t="d">
        <v>2024-02-21</v>
      </c>
      <c r="D26" s="2">
        <v>340</v>
      </c>
      <c r="E26" t="s">
        <v>40</v>
      </c>
      <c r="F26" t="s">
        <v>34</v>
      </c>
      <c r="G26">
        <v>6</v>
      </c>
      <c r="H26" s="5">
        <f t="shared" si="0"/>
        <v>2040</v>
      </c>
    </row>
    <row r="27" spans="1:8" x14ac:dyDescent="0.25">
      <c r="A27">
        <v>26</v>
      </c>
      <c r="B27" t="s">
        <v>28</v>
      </c>
      <c r="C27" s="1" t="d">
        <v>2024-08-29</v>
      </c>
      <c r="D27" s="2">
        <v>450</v>
      </c>
      <c r="E27" t="s">
        <v>40</v>
      </c>
      <c r="F27" t="s">
        <v>39</v>
      </c>
      <c r="G27">
        <v>3</v>
      </c>
      <c r="H27" s="5">
        <f t="shared" si="0"/>
        <v>1350</v>
      </c>
    </row>
    <row r="28" spans="1:8" x14ac:dyDescent="0.25">
      <c r="A28">
        <v>27</v>
      </c>
      <c r="B28" t="s">
        <v>29</v>
      </c>
      <c r="C28" s="1" t="d">
        <v>2024-11-30</v>
      </c>
      <c r="D28" s="2">
        <v>550</v>
      </c>
      <c r="E28" t="s">
        <v>32</v>
      </c>
      <c r="F28" t="s">
        <v>36</v>
      </c>
      <c r="G28">
        <v>5</v>
      </c>
      <c r="H28" s="5">
        <f t="shared" si="0"/>
        <v>2750</v>
      </c>
    </row>
    <row r="29" spans="1:8" x14ac:dyDescent="0.25">
      <c r="A29">
        <v>28</v>
      </c>
      <c r="B29" t="s">
        <v>30</v>
      </c>
      <c r="C29" s="1" t="d">
        <v>2024-04-25</v>
      </c>
      <c r="D29" s="2">
        <v>700</v>
      </c>
      <c r="E29" t="s">
        <v>44</v>
      </c>
      <c r="F29" t="s">
        <v>39</v>
      </c>
      <c r="G29">
        <v>4</v>
      </c>
      <c r="H29" s="5">
        <f t="shared" si="0"/>
        <v>2800</v>
      </c>
    </row>
    <row r="30" spans="1:8" x14ac:dyDescent="0.25">
      <c r="A30">
        <v>29</v>
      </c>
      <c r="B30" t="s">
        <v>49</v>
      </c>
      <c r="C30" s="1" t="d">
        <v>2024-03-28</v>
      </c>
      <c r="D30" s="2">
        <v>950</v>
      </c>
      <c r="E30" t="s">
        <v>50</v>
      </c>
      <c r="F30" t="s">
        <v>36</v>
      </c>
      <c r="G30">
        <v>4</v>
      </c>
      <c r="H30" s="5">
        <f t="shared" si="0"/>
        <v>3800</v>
      </c>
    </row>
    <row r="31" spans="1:8" x14ac:dyDescent="0.25">
      <c r="A31">
        <v>30</v>
      </c>
      <c r="B31" t="s">
        <v>31</v>
      </c>
      <c r="C31" s="1" t="d">
        <v>2024-09-11</v>
      </c>
      <c r="D31" s="2">
        <v>120</v>
      </c>
      <c r="E31" t="s">
        <v>32</v>
      </c>
      <c r="F31" t="s">
        <v>35</v>
      </c>
      <c r="G31">
        <v>6</v>
      </c>
      <c r="H31" s="5">
        <f t="shared" si="0"/>
        <v>720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D5AF-C7AD-4FF5-9475-67F23D172429}">
  <dimension ref="B2:C31"/>
  <sheetViews>
    <sheetView workbookViewId="0">
      <selection activeCell="Q1" sqref="Q1:XFD1048576"/>
    </sheetView>
  </sheetViews>
  <sheetFormatPr defaultColWidth="0" defaultRowHeight="15" x14ac:dyDescent="0.25"/>
  <cols>
    <col min="1" max="2" width="9.140625" customWidth="1"/>
    <col min="3" max="3" width="12.140625" bestFit="1" customWidth="1"/>
    <col min="4" max="16" width="9.140625" customWidth="1"/>
    <col min="17" max="16384" width="9.140625" hidden="1"/>
  </cols>
  <sheetData>
    <row r="2" spans="2:3" x14ac:dyDescent="0.25">
      <c r="B2" s="30" t="s">
        <v>47</v>
      </c>
      <c r="C2" s="2">
        <v>300</v>
      </c>
    </row>
    <row r="3" spans="2:3" x14ac:dyDescent="0.25">
      <c r="B3" s="31" t="s">
        <v>5</v>
      </c>
      <c r="C3" s="2">
        <v>400</v>
      </c>
    </row>
    <row r="4" spans="2:3" x14ac:dyDescent="0.25">
      <c r="B4" s="30" t="s">
        <v>6</v>
      </c>
      <c r="C4" s="2">
        <v>750</v>
      </c>
    </row>
    <row r="5" spans="2:3" x14ac:dyDescent="0.25">
      <c r="B5" s="31" t="s">
        <v>7</v>
      </c>
      <c r="C5" s="2">
        <v>600</v>
      </c>
    </row>
    <row r="6" spans="2:3" x14ac:dyDescent="0.25">
      <c r="B6" s="30" t="s">
        <v>8</v>
      </c>
      <c r="C6" s="2">
        <v>250</v>
      </c>
    </row>
    <row r="7" spans="2:3" x14ac:dyDescent="0.25">
      <c r="B7" s="31" t="s">
        <v>9</v>
      </c>
      <c r="C7" s="2">
        <v>480</v>
      </c>
    </row>
    <row r="8" spans="2:3" x14ac:dyDescent="0.25">
      <c r="B8" s="30" t="s">
        <v>10</v>
      </c>
      <c r="C8" s="2">
        <v>900</v>
      </c>
    </row>
    <row r="9" spans="2:3" x14ac:dyDescent="0.25">
      <c r="B9" s="31" t="s">
        <v>11</v>
      </c>
      <c r="C9" s="2">
        <v>600</v>
      </c>
    </row>
    <row r="10" spans="2:3" x14ac:dyDescent="0.25">
      <c r="B10" s="30" t="s">
        <v>12</v>
      </c>
      <c r="C10" s="2">
        <v>1200</v>
      </c>
    </row>
    <row r="11" spans="2:3" x14ac:dyDescent="0.25">
      <c r="B11" s="31" t="s">
        <v>13</v>
      </c>
      <c r="C11" s="2">
        <v>1800</v>
      </c>
    </row>
    <row r="12" spans="2:3" x14ac:dyDescent="0.25">
      <c r="B12" s="30" t="s">
        <v>14</v>
      </c>
      <c r="C12" s="2">
        <v>1300</v>
      </c>
    </row>
    <row r="13" spans="2:3" x14ac:dyDescent="0.25">
      <c r="B13" s="31" t="s">
        <v>15</v>
      </c>
      <c r="C13" s="2">
        <v>3200</v>
      </c>
    </row>
    <row r="14" spans="2:3" x14ac:dyDescent="0.25">
      <c r="B14" s="30" t="s">
        <v>16</v>
      </c>
      <c r="C14" s="2">
        <v>250</v>
      </c>
    </row>
    <row r="15" spans="2:3" x14ac:dyDescent="0.25">
      <c r="B15" s="31" t="s">
        <v>17</v>
      </c>
      <c r="C15" s="2">
        <v>750</v>
      </c>
    </row>
    <row r="16" spans="2:3" x14ac:dyDescent="0.25">
      <c r="B16" s="30" t="s">
        <v>18</v>
      </c>
      <c r="C16" s="2">
        <v>1350</v>
      </c>
    </row>
    <row r="17" spans="2:3" x14ac:dyDescent="0.25">
      <c r="B17" s="31" t="s">
        <v>19</v>
      </c>
      <c r="C17" s="2">
        <v>1920</v>
      </c>
    </row>
    <row r="18" spans="2:3" x14ac:dyDescent="0.25">
      <c r="B18" s="30" t="s">
        <v>20</v>
      </c>
      <c r="C18" s="2">
        <v>1800</v>
      </c>
    </row>
    <row r="19" spans="2:3" x14ac:dyDescent="0.25">
      <c r="B19" s="31" t="s">
        <v>48</v>
      </c>
      <c r="C19" s="2">
        <v>2080</v>
      </c>
    </row>
    <row r="20" spans="2:3" x14ac:dyDescent="0.25">
      <c r="B20" s="30" t="s">
        <v>21</v>
      </c>
      <c r="C20" s="2">
        <v>6000</v>
      </c>
    </row>
    <row r="21" spans="2:3" x14ac:dyDescent="0.25">
      <c r="B21" s="31" t="s">
        <v>22</v>
      </c>
      <c r="C21" s="2">
        <v>4400</v>
      </c>
    </row>
    <row r="22" spans="2:3" x14ac:dyDescent="0.25">
      <c r="B22" s="30" t="s">
        <v>23</v>
      </c>
      <c r="C22" s="2">
        <v>5400</v>
      </c>
    </row>
    <row r="23" spans="2:3" x14ac:dyDescent="0.25">
      <c r="B23" s="31" t="s">
        <v>24</v>
      </c>
      <c r="C23" s="2">
        <v>4000</v>
      </c>
    </row>
    <row r="24" spans="2:3" x14ac:dyDescent="0.25">
      <c r="B24" s="30" t="s">
        <v>25</v>
      </c>
      <c r="C24" s="2">
        <v>600</v>
      </c>
    </row>
    <row r="25" spans="2:3" x14ac:dyDescent="0.25">
      <c r="B25" s="31" t="s">
        <v>26</v>
      </c>
      <c r="C25" s="2">
        <v>500</v>
      </c>
    </row>
    <row r="26" spans="2:3" x14ac:dyDescent="0.25">
      <c r="B26" s="30" t="s">
        <v>27</v>
      </c>
      <c r="C26" s="2">
        <v>2040</v>
      </c>
    </row>
    <row r="27" spans="2:3" x14ac:dyDescent="0.25">
      <c r="B27" s="31" t="s">
        <v>28</v>
      </c>
      <c r="C27" s="2">
        <v>1350</v>
      </c>
    </row>
    <row r="28" spans="2:3" x14ac:dyDescent="0.25">
      <c r="B28" s="30" t="s">
        <v>29</v>
      </c>
      <c r="C28" s="2">
        <v>2750</v>
      </c>
    </row>
    <row r="29" spans="2:3" x14ac:dyDescent="0.25">
      <c r="B29" s="31" t="s">
        <v>30</v>
      </c>
      <c r="C29" s="2">
        <v>2800</v>
      </c>
    </row>
    <row r="30" spans="2:3" x14ac:dyDescent="0.25">
      <c r="B30" s="30" t="s">
        <v>49</v>
      </c>
      <c r="C30" s="2">
        <v>3800</v>
      </c>
    </row>
    <row r="31" spans="2:3" x14ac:dyDescent="0.25">
      <c r="B31" s="31" t="s">
        <v>31</v>
      </c>
      <c r="C31" s="2">
        <v>720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FFA5-B1C3-4BD0-89D0-433B37FC7AF5}">
  <dimension ref="A1:Q24"/>
  <sheetViews>
    <sheetView showGridLines="0" workbookViewId="0">
      <selection activeCell="E29" sqref="E29"/>
    </sheetView>
  </sheetViews>
  <sheetFormatPr defaultColWidth="0" defaultRowHeight="15" x14ac:dyDescent="0.25"/>
  <cols>
    <col min="1" max="1" width="9.140625" customWidth="1"/>
    <col min="2" max="2" width="18.42578125" bestFit="1" customWidth="1"/>
    <col min="3" max="3" width="22.140625" bestFit="1" customWidth="1"/>
    <col min="4" max="17" width="9.140625" customWidth="1"/>
    <col min="18" max="16384" width="9.140625" hidden="1"/>
  </cols>
  <sheetData>
    <row r="1" spans="1:17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3"/>
      <c r="B3" s="33" t="s">
        <v>52</v>
      </c>
      <c r="C3" s="34" t="s">
        <v>74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3"/>
      <c r="B4" s="35" t="s">
        <v>60</v>
      </c>
      <c r="C4" s="34">
        <v>5100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5" t="s">
        <v>58</v>
      </c>
      <c r="C5" s="34">
        <v>5190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33"/>
      <c r="B6" s="35" t="s">
        <v>56</v>
      </c>
      <c r="C6" s="34">
        <v>4800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x14ac:dyDescent="0.25">
      <c r="A7" s="33"/>
      <c r="B7" s="35" t="s">
        <v>57</v>
      </c>
      <c r="C7" s="34">
        <v>3280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x14ac:dyDescent="0.25">
      <c r="A8" s="33"/>
      <c r="B8" s="35" t="s">
        <v>55</v>
      </c>
      <c r="C8" s="34">
        <v>7650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x14ac:dyDescent="0.25">
      <c r="A9" s="33"/>
      <c r="B9" s="35" t="s">
        <v>59</v>
      </c>
      <c r="C9" s="34">
        <v>4480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x14ac:dyDescent="0.25">
      <c r="A10" s="33"/>
      <c r="B10" s="35" t="s">
        <v>54</v>
      </c>
      <c r="C10" s="34">
        <v>7200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x14ac:dyDescent="0.25">
      <c r="A11" s="33"/>
      <c r="B11" s="35" t="s">
        <v>62</v>
      </c>
      <c r="C11" s="34">
        <v>1600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 x14ac:dyDescent="0.25">
      <c r="A12" s="33"/>
      <c r="B12" s="35" t="s">
        <v>61</v>
      </c>
      <c r="C12" s="34">
        <v>3240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x14ac:dyDescent="0.25">
      <c r="A13" s="33"/>
      <c r="B13" s="35" t="s">
        <v>63</v>
      </c>
      <c r="C13" s="34">
        <v>6000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pans="1:17" x14ac:dyDescent="0.25">
      <c r="A14" s="33"/>
      <c r="B14" s="35" t="s">
        <v>65</v>
      </c>
      <c r="C14" s="34">
        <v>4550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17" x14ac:dyDescent="0.25">
      <c r="A15" s="33"/>
      <c r="B15" s="35" t="s">
        <v>64</v>
      </c>
      <c r="C15" s="34">
        <v>1200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1:17" x14ac:dyDescent="0.25">
      <c r="A16" s="33"/>
      <c r="B16" s="35" t="s">
        <v>53</v>
      </c>
      <c r="C16" s="34">
        <v>54290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1:17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pans="1:17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9C28-B7A9-43D9-A51F-28BB715BFADB}">
  <dimension ref="A1:R31"/>
  <sheetViews>
    <sheetView showGridLines="0" workbookViewId="0">
      <selection sqref="A1:R31"/>
    </sheetView>
  </sheetViews>
  <sheetFormatPr defaultColWidth="0" defaultRowHeight="15" x14ac:dyDescent="0.25"/>
  <cols>
    <col min="1" max="1" width="9.140625" customWidth="1"/>
    <col min="2" max="2" width="18.42578125" bestFit="1" customWidth="1"/>
    <col min="3" max="3" width="20.5703125" style="2" bestFit="1" customWidth="1"/>
    <col min="4" max="4" width="19.5703125" bestFit="1" customWidth="1"/>
    <col min="5" max="18" width="9.140625" customWidth="1"/>
    <col min="19" max="16384" width="9.140625" hidden="1"/>
  </cols>
  <sheetData>
    <row r="1" spans="1:18" x14ac:dyDescent="0.25">
      <c r="A1" s="33"/>
      <c r="B1" s="33"/>
      <c r="C1" s="36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x14ac:dyDescent="0.25">
      <c r="A2" s="33"/>
      <c r="B2" s="33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x14ac:dyDescent="0.25">
      <c r="A3" s="33"/>
      <c r="B3" s="33"/>
      <c r="C3" s="36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x14ac:dyDescent="0.25">
      <c r="A4" s="33"/>
      <c r="B4" s="33"/>
      <c r="C4" s="36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x14ac:dyDescent="0.25">
      <c r="A5" s="33"/>
      <c r="B5" s="33"/>
      <c r="C5" s="36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33"/>
      <c r="B6" s="33"/>
      <c r="C6" s="36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25">
      <c r="A7" s="33"/>
      <c r="B7" s="33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x14ac:dyDescent="0.25">
      <c r="A8" s="33"/>
      <c r="B8" s="33"/>
      <c r="C8" s="36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8" x14ac:dyDescent="0.25">
      <c r="A9" s="33"/>
      <c r="B9" s="33"/>
      <c r="C9" s="36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 x14ac:dyDescent="0.25">
      <c r="A10" s="33"/>
      <c r="B10" s="33"/>
      <c r="C10" s="36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 x14ac:dyDescent="0.25">
      <c r="A11" s="33"/>
      <c r="B11" s="33"/>
      <c r="C11" s="36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 x14ac:dyDescent="0.25">
      <c r="A12" s="33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 x14ac:dyDescent="0.25">
      <c r="A13" s="33"/>
      <c r="B13" s="33"/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x14ac:dyDescent="0.25">
      <c r="A14" s="33"/>
      <c r="B14" s="33"/>
      <c r="C14" s="36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x14ac:dyDescent="0.25">
      <c r="A15" s="33"/>
      <c r="B15" s="33" t="s">
        <v>52</v>
      </c>
      <c r="C15" s="33" t="s">
        <v>74</v>
      </c>
      <c r="D15" s="33" t="s">
        <v>76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 x14ac:dyDescent="0.25">
      <c r="A16" s="33"/>
      <c r="B16" s="35" t="s">
        <v>46</v>
      </c>
      <c r="C16" s="34">
        <v>3050</v>
      </c>
      <c r="D16" s="37">
        <v>13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x14ac:dyDescent="0.25">
      <c r="A17" s="33"/>
      <c r="B17" s="35" t="s">
        <v>41</v>
      </c>
      <c r="C17" s="34">
        <v>2350</v>
      </c>
      <c r="D17" s="37">
        <v>9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 x14ac:dyDescent="0.25">
      <c r="A18" s="33"/>
      <c r="B18" s="35" t="s">
        <v>51</v>
      </c>
      <c r="C18" s="34">
        <v>4000</v>
      </c>
      <c r="D18" s="37">
        <v>4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x14ac:dyDescent="0.25">
      <c r="A19" s="33"/>
      <c r="B19" s="35" t="s">
        <v>42</v>
      </c>
      <c r="C19" s="34">
        <v>1800</v>
      </c>
      <c r="D19" s="37">
        <v>6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 x14ac:dyDescent="0.25">
      <c r="A20" s="33"/>
      <c r="B20" s="35" t="s">
        <v>32</v>
      </c>
      <c r="C20" s="34">
        <v>4620</v>
      </c>
      <c r="D20" s="37">
        <v>17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 x14ac:dyDescent="0.25">
      <c r="A21" s="33"/>
      <c r="B21" s="35" t="s">
        <v>43</v>
      </c>
      <c r="C21" s="34">
        <v>480</v>
      </c>
      <c r="D21" s="37">
        <v>4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 x14ac:dyDescent="0.25">
      <c r="A22" s="33"/>
      <c r="B22" s="35" t="s">
        <v>45</v>
      </c>
      <c r="C22" s="34">
        <v>7300</v>
      </c>
      <c r="D22" s="37">
        <v>4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 x14ac:dyDescent="0.25">
      <c r="A23" s="33"/>
      <c r="B23" s="35" t="s">
        <v>50</v>
      </c>
      <c r="C23" s="34">
        <v>12400</v>
      </c>
      <c r="D23" s="37">
        <v>11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 x14ac:dyDescent="0.25">
      <c r="A24" s="33"/>
      <c r="B24" s="35" t="s">
        <v>44</v>
      </c>
      <c r="C24" s="34">
        <v>9000</v>
      </c>
      <c r="D24" s="37">
        <v>8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 x14ac:dyDescent="0.25">
      <c r="A25" s="33"/>
      <c r="B25" s="35" t="s">
        <v>40</v>
      </c>
      <c r="C25" s="34">
        <v>9290</v>
      </c>
      <c r="D25" s="37">
        <v>30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 x14ac:dyDescent="0.25">
      <c r="A26" s="33"/>
      <c r="B26" s="35" t="s">
        <v>53</v>
      </c>
      <c r="C26" s="34">
        <v>54290</v>
      </c>
      <c r="D26" s="37">
        <v>106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 x14ac:dyDescent="0.25">
      <c r="A27" s="33"/>
      <c r="B27" s="33"/>
      <c r="C27" s="36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 x14ac:dyDescent="0.25">
      <c r="A28" s="33"/>
      <c r="B28" s="33"/>
      <c r="C28" s="36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 x14ac:dyDescent="0.25">
      <c r="A29" s="33"/>
      <c r="B29" s="33"/>
      <c r="C29" s="36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8" x14ac:dyDescent="0.25">
      <c r="A30" s="33"/>
      <c r="B30" s="33"/>
      <c r="C30" s="36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 x14ac:dyDescent="0.25">
      <c r="A31" s="33"/>
      <c r="B31" s="33"/>
      <c r="C31" s="36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4866-D2BE-4962-9F2F-9EECFE1D766A}">
  <dimension ref="A1:U28"/>
  <sheetViews>
    <sheetView showGridLines="0" workbookViewId="0">
      <selection sqref="A1:U28"/>
    </sheetView>
  </sheetViews>
  <sheetFormatPr defaultRowHeight="15" x14ac:dyDescent="0.25"/>
  <cols>
    <col min="2" max="2" width="18.42578125" bestFit="1" customWidth="1"/>
    <col min="3" max="3" width="22.140625" bestFit="1" customWidth="1"/>
  </cols>
  <sheetData>
    <row r="1" spans="1:2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3"/>
      <c r="B2" s="33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3"/>
      <c r="B3" s="33" t="s">
        <v>52</v>
      </c>
      <c r="C3" s="34" t="s">
        <v>74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33"/>
      <c r="B4" s="35" t="s">
        <v>38</v>
      </c>
      <c r="C4" s="34">
        <v>5900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x14ac:dyDescent="0.25">
      <c r="A5" s="33"/>
      <c r="B5" s="35" t="s">
        <v>37</v>
      </c>
      <c r="C5" s="34">
        <v>8430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33"/>
      <c r="B6" s="35" t="s">
        <v>36</v>
      </c>
      <c r="C6" s="34">
        <v>14100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x14ac:dyDescent="0.25">
      <c r="A7" s="33"/>
      <c r="B7" s="35" t="s">
        <v>39</v>
      </c>
      <c r="C7" s="34">
        <v>4150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x14ac:dyDescent="0.25">
      <c r="A8" s="33"/>
      <c r="B8" s="35" t="s">
        <v>34</v>
      </c>
      <c r="C8" s="34">
        <v>7790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1:21" x14ac:dyDescent="0.25">
      <c r="A9" s="33"/>
      <c r="B9" s="35" t="s">
        <v>35</v>
      </c>
      <c r="C9" s="34">
        <v>6020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x14ac:dyDescent="0.25">
      <c r="A10" s="33"/>
      <c r="B10" s="35" t="s">
        <v>33</v>
      </c>
      <c r="C10" s="34">
        <v>7900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x14ac:dyDescent="0.25">
      <c r="A11" s="33"/>
      <c r="B11" s="35" t="s">
        <v>53</v>
      </c>
      <c r="C11" s="34">
        <v>54290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1:2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1:2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1:2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spans="1:2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spans="1:2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spans="1:2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spans="1:2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1:2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04C3-24CD-4307-AA11-4E9DFD19352E}">
  <dimension ref="A1:Z47"/>
  <sheetViews>
    <sheetView showGridLines="0" tabSelected="1" workbookViewId="0">
      <selection activeCell="B40" sqref="B40:T40"/>
    </sheetView>
  </sheetViews>
  <sheetFormatPr defaultColWidth="0" defaultRowHeight="15" x14ac:dyDescent="0.25"/>
  <cols>
    <col min="1" max="3" width="9.140625" customWidth="1"/>
    <col min="4" max="4" width="23.28515625" bestFit="1" customWidth="1"/>
    <col min="5" max="5" width="13.28515625" bestFit="1" customWidth="1"/>
    <col min="6" max="6" width="9.140625" customWidth="1"/>
    <col min="7" max="7" width="16.7109375" bestFit="1" customWidth="1"/>
    <col min="8" max="23" width="9.140625" customWidth="1"/>
    <col min="24" max="26" width="0" hidden="1" customWidth="1"/>
    <col min="27" max="16384" width="9.140625" hidden="1"/>
  </cols>
  <sheetData>
    <row r="1" spans="1:26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6" ht="26.25" x14ac:dyDescent="0.4">
      <c r="A2" s="7"/>
      <c r="B2" s="26" t="s">
        <v>66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6"/>
      <c r="Y2" s="6"/>
      <c r="Z2" s="6"/>
    </row>
    <row r="3" spans="1:2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6" ht="20.25" thickBot="1" x14ac:dyDescent="0.35">
      <c r="A4" s="7"/>
      <c r="B4" s="7"/>
      <c r="C4" s="7"/>
      <c r="D4" s="8" t="s">
        <v>68</v>
      </c>
      <c r="E4" s="8"/>
      <c r="F4" s="32" t="s">
        <v>81</v>
      </c>
      <c r="G4" s="32"/>
      <c r="H4" s="32"/>
      <c r="I4" s="8" t="s">
        <v>67</v>
      </c>
      <c r="J4" s="8"/>
      <c r="K4" s="8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6" ht="21" thickTop="1" thickBot="1" x14ac:dyDescent="0.35">
      <c r="A5" s="7"/>
      <c r="B5" s="7"/>
      <c r="C5" s="7"/>
      <c r="D5" s="8"/>
      <c r="E5" s="8"/>
      <c r="F5" s="7"/>
      <c r="G5" s="8"/>
      <c r="H5" s="7"/>
      <c r="I5" s="8"/>
      <c r="J5" s="8"/>
      <c r="K5" s="8"/>
      <c r="L5" s="8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6" ht="21" thickTop="1" thickBot="1" x14ac:dyDescent="0.35">
      <c r="A6" s="7"/>
      <c r="B6" s="7"/>
      <c r="C6" s="7"/>
      <c r="D6" s="9">
        <v>54290</v>
      </c>
      <c r="E6" s="9"/>
      <c r="F6" s="7"/>
      <c r="G6" s="9" t="s">
        <v>82</v>
      </c>
      <c r="H6" s="7"/>
      <c r="I6" s="8"/>
      <c r="J6" s="8">
        <f>COUNTA(_xlfn.UNIQUE(Tabela2[cliente]))</f>
        <v>30</v>
      </c>
      <c r="K6" s="8"/>
      <c r="L6" s="8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6" ht="21" thickTop="1" thickBot="1" x14ac:dyDescent="0.35">
      <c r="A7" s="7"/>
      <c r="B7" s="7"/>
      <c r="C7" s="7"/>
      <c r="D7" s="8"/>
      <c r="E7" s="8"/>
      <c r="F7" s="7"/>
      <c r="G7" s="7"/>
      <c r="H7" s="7"/>
      <c r="I7" s="8"/>
      <c r="J7" s="8"/>
      <c r="K7" s="8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6" ht="15.75" thickTop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21" x14ac:dyDescent="0.35">
      <c r="A40" s="7"/>
      <c r="B40" s="29" t="s">
        <v>69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7"/>
      <c r="V40" s="7"/>
    </row>
    <row r="41" spans="1:23" x14ac:dyDescent="0.25">
      <c r="A41" s="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7"/>
      <c r="V41" s="7"/>
    </row>
    <row r="42" spans="1:23" ht="18.75" x14ac:dyDescent="0.3">
      <c r="A42" s="7"/>
      <c r="B42" s="10"/>
      <c r="C42" s="27" t="s">
        <v>78</v>
      </c>
      <c r="D42" s="28"/>
      <c r="E42" s="28"/>
      <c r="F42" s="28"/>
      <c r="G42" s="10"/>
      <c r="H42" s="10"/>
      <c r="I42" s="10"/>
      <c r="J42" s="27" t="s">
        <v>75</v>
      </c>
      <c r="K42" s="27"/>
      <c r="L42" s="27"/>
      <c r="M42" s="27"/>
      <c r="N42" s="27"/>
      <c r="O42" s="27"/>
      <c r="P42" s="10"/>
      <c r="Q42" s="10"/>
      <c r="R42" s="10"/>
      <c r="S42" s="10"/>
      <c r="T42" s="10"/>
      <c r="U42" s="7"/>
      <c r="V42" s="7"/>
    </row>
    <row r="43" spans="1:23" ht="18.75" x14ac:dyDescent="0.3">
      <c r="A43" s="7"/>
      <c r="B43" s="10"/>
      <c r="C43" s="27" t="s">
        <v>79</v>
      </c>
      <c r="D43" s="28"/>
      <c r="E43" s="28"/>
      <c r="F43" s="28"/>
      <c r="G43" s="10"/>
      <c r="H43" s="10"/>
      <c r="I43" s="10"/>
      <c r="J43" s="24" t="s">
        <v>70</v>
      </c>
      <c r="K43" s="24"/>
      <c r="L43" s="24"/>
      <c r="M43" s="24"/>
      <c r="N43" s="24"/>
      <c r="O43" s="24"/>
      <c r="P43" s="24"/>
      <c r="Q43" s="24"/>
      <c r="R43" s="10"/>
      <c r="S43" s="10"/>
      <c r="T43" s="10"/>
      <c r="U43" s="7"/>
      <c r="V43" s="7"/>
    </row>
    <row r="44" spans="1:23" ht="18.75" x14ac:dyDescent="0.3">
      <c r="A44" s="7"/>
      <c r="B44" s="10"/>
      <c r="C44" s="11"/>
      <c r="D44" s="11"/>
      <c r="E44" s="11"/>
      <c r="F44" s="10"/>
      <c r="G44" s="10"/>
      <c r="H44" s="10"/>
      <c r="I44" s="10"/>
      <c r="J44" s="25" t="s">
        <v>77</v>
      </c>
      <c r="K44" s="25"/>
      <c r="L44" s="25"/>
      <c r="M44" s="25"/>
      <c r="N44" s="25"/>
      <c r="O44" s="25"/>
      <c r="P44" s="25"/>
      <c r="Q44" s="10"/>
      <c r="R44" s="10"/>
      <c r="S44" s="10"/>
      <c r="T44" s="10"/>
      <c r="U44" s="7"/>
      <c r="V44" s="7"/>
    </row>
    <row r="45" spans="1:23" x14ac:dyDescent="0.25">
      <c r="A45" s="7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7"/>
      <c r="V45" s="7"/>
    </row>
    <row r="46" spans="1:2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3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</sheetData>
  <mergeCells count="8">
    <mergeCell ref="J43:Q43"/>
    <mergeCell ref="J44:P44"/>
    <mergeCell ref="B2:W2"/>
    <mergeCell ref="C42:F42"/>
    <mergeCell ref="C43:F43"/>
    <mergeCell ref="J42:O42"/>
    <mergeCell ref="F4:H4"/>
    <mergeCell ref="B40:T4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 Dinamica</vt:lpstr>
      <vt:lpstr>Base_Dados</vt:lpstr>
      <vt:lpstr>vendas_cliente</vt:lpstr>
      <vt:lpstr>vendas_mes</vt:lpstr>
      <vt:lpstr>vendas_produto</vt:lpstr>
      <vt:lpstr>vendas_estado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Reus</dc:creator>
  <cp:lastModifiedBy>Felipe Reus</cp:lastModifiedBy>
  <dcterms:created xsi:type="dcterms:W3CDTF">2026-04-26T02:23:21Z</dcterms:created>
  <dcterms:modified xsi:type="dcterms:W3CDTF">2026-04-27T01:03:40Z</dcterms:modified>
</cp:coreProperties>
</file>